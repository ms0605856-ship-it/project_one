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CF12976-7937-4362-8277-2E5D8695BE18}" xr6:coauthVersionLast="47" xr6:coauthVersionMax="47" xr10:uidLastSave="{00000000-0000-0000-0000-000000000000}"/>
  <bookViews>
    <workbookView xWindow="-120" yWindow="-120" windowWidth="19440" windowHeight="10320" firstSheet="4" activeTab="6" xr2:uid="{00000000-000D-0000-FFFF-FFFF00000000}"/>
  </bookViews>
  <sheets>
    <sheet name="dataset_1" sheetId="1" r:id="rId1"/>
    <sheet name="dataset_2" sheetId="2" r:id="rId2"/>
    <sheet name="Weather Wise Rentals" sheetId="12" r:id="rId3"/>
    <sheet name="Weekday Wise total rentals" sheetId="15" r:id="rId4"/>
    <sheet name="Bike rentals by weather type" sheetId="16" r:id="rId5"/>
    <sheet name="Temperature vs Rentals" sheetId="13" r:id="rId6"/>
    <sheet name="A" sheetId="9" r:id="rId7"/>
  </sheets>
  <definedNames>
    <definedName name="ExternalData_2" localSheetId="6" hidden="1">A!$A$1:$O$611</definedName>
  </definedNames>
  <calcPr calcId="191029"/>
  <pivotCaches>
    <pivotCache cacheId="19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" i="9" l="1"/>
  <c r="R3" i="9"/>
  <c r="R4" i="9"/>
  <c r="R5" i="9"/>
  <c r="R6" i="9"/>
  <c r="R7" i="9"/>
  <c r="R8" i="9"/>
  <c r="R9" i="9"/>
  <c r="R10" i="9"/>
  <c r="R11" i="9"/>
  <c r="R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32" i="9"/>
  <c r="R33" i="9"/>
  <c r="R34" i="9"/>
  <c r="R35" i="9"/>
  <c r="R36" i="9"/>
  <c r="R37" i="9"/>
  <c r="R38" i="9"/>
  <c r="R39" i="9"/>
  <c r="R40" i="9"/>
  <c r="R41" i="9"/>
  <c r="R42" i="9"/>
  <c r="R43" i="9"/>
  <c r="R44" i="9"/>
  <c r="R45" i="9"/>
  <c r="R46" i="9"/>
  <c r="R47" i="9"/>
  <c r="R48" i="9"/>
  <c r="R49" i="9"/>
  <c r="R50" i="9"/>
  <c r="R51" i="9"/>
  <c r="R52" i="9"/>
  <c r="R53" i="9"/>
  <c r="R54" i="9"/>
  <c r="R55" i="9"/>
  <c r="R56" i="9"/>
  <c r="R57" i="9"/>
  <c r="R58" i="9"/>
  <c r="R59" i="9"/>
  <c r="R60" i="9"/>
  <c r="R61" i="9"/>
  <c r="R62" i="9"/>
  <c r="R63" i="9"/>
  <c r="R64" i="9"/>
  <c r="R65" i="9"/>
  <c r="R66" i="9"/>
  <c r="R67" i="9"/>
  <c r="R68" i="9"/>
  <c r="R69" i="9"/>
  <c r="R70" i="9"/>
  <c r="R71" i="9"/>
  <c r="R72" i="9"/>
  <c r="R73" i="9"/>
  <c r="R74" i="9"/>
  <c r="R75" i="9"/>
  <c r="R76" i="9"/>
  <c r="R77" i="9"/>
  <c r="R78" i="9"/>
  <c r="R79" i="9"/>
  <c r="R80" i="9"/>
  <c r="R81" i="9"/>
  <c r="R82" i="9"/>
  <c r="R83" i="9"/>
  <c r="R84" i="9"/>
  <c r="R85" i="9"/>
  <c r="R86" i="9"/>
  <c r="R87" i="9"/>
  <c r="R88" i="9"/>
  <c r="R89" i="9"/>
  <c r="R90" i="9"/>
  <c r="R91" i="9"/>
  <c r="R92" i="9"/>
  <c r="R93" i="9"/>
  <c r="R94" i="9"/>
  <c r="R95" i="9"/>
  <c r="R96" i="9"/>
  <c r="R97" i="9"/>
  <c r="R98" i="9"/>
  <c r="R99" i="9"/>
  <c r="R100" i="9"/>
  <c r="R101" i="9"/>
  <c r="R102" i="9"/>
  <c r="R103" i="9"/>
  <c r="R104" i="9"/>
  <c r="R105" i="9"/>
  <c r="R106" i="9"/>
  <c r="R107" i="9"/>
  <c r="R108" i="9"/>
  <c r="R109" i="9"/>
  <c r="R110" i="9"/>
  <c r="R111" i="9"/>
  <c r="R112" i="9"/>
  <c r="R113" i="9"/>
  <c r="R114" i="9"/>
  <c r="R115" i="9"/>
  <c r="R116" i="9"/>
  <c r="R117" i="9"/>
  <c r="R118" i="9"/>
  <c r="R119" i="9"/>
  <c r="R120" i="9"/>
  <c r="R121" i="9"/>
  <c r="R122" i="9"/>
  <c r="R123" i="9"/>
  <c r="R124" i="9"/>
  <c r="R125" i="9"/>
  <c r="R126" i="9"/>
  <c r="R127" i="9"/>
  <c r="R128" i="9"/>
  <c r="R129" i="9"/>
  <c r="R130" i="9"/>
  <c r="R131" i="9"/>
  <c r="R132" i="9"/>
  <c r="R133" i="9"/>
  <c r="R134" i="9"/>
  <c r="R135" i="9"/>
  <c r="R136" i="9"/>
  <c r="R137" i="9"/>
  <c r="R138" i="9"/>
  <c r="R139" i="9"/>
  <c r="R140" i="9"/>
  <c r="R141" i="9"/>
  <c r="R142" i="9"/>
  <c r="R143" i="9"/>
  <c r="R144" i="9"/>
  <c r="R145" i="9"/>
  <c r="R146" i="9"/>
  <c r="R147" i="9"/>
  <c r="R148" i="9"/>
  <c r="R149" i="9"/>
  <c r="R150" i="9"/>
  <c r="R151" i="9"/>
  <c r="R152" i="9"/>
  <c r="R153" i="9"/>
  <c r="R154" i="9"/>
  <c r="R155" i="9"/>
  <c r="R156" i="9"/>
  <c r="R157" i="9"/>
  <c r="R158" i="9"/>
  <c r="R159" i="9"/>
  <c r="R160" i="9"/>
  <c r="R161" i="9"/>
  <c r="R162" i="9"/>
  <c r="R163" i="9"/>
  <c r="R164" i="9"/>
  <c r="R165" i="9"/>
  <c r="R166" i="9"/>
  <c r="R167" i="9"/>
  <c r="R168" i="9"/>
  <c r="R169" i="9"/>
  <c r="R170" i="9"/>
  <c r="R171" i="9"/>
  <c r="R172" i="9"/>
  <c r="R173" i="9"/>
  <c r="R174" i="9"/>
  <c r="R175" i="9"/>
  <c r="R176" i="9"/>
  <c r="R177" i="9"/>
  <c r="R178" i="9"/>
  <c r="R179" i="9"/>
  <c r="R180" i="9"/>
  <c r="R181" i="9"/>
  <c r="R182" i="9"/>
  <c r="R183" i="9"/>
  <c r="R184" i="9"/>
  <c r="R185" i="9"/>
  <c r="R186" i="9"/>
  <c r="R187" i="9"/>
  <c r="R188" i="9"/>
  <c r="R189" i="9"/>
  <c r="R190" i="9"/>
  <c r="R191" i="9"/>
  <c r="R192" i="9"/>
  <c r="R193" i="9"/>
  <c r="R194" i="9"/>
  <c r="R195" i="9"/>
  <c r="R196" i="9"/>
  <c r="R197" i="9"/>
  <c r="R198" i="9"/>
  <c r="R199" i="9"/>
  <c r="R200" i="9"/>
  <c r="R201" i="9"/>
  <c r="R202" i="9"/>
  <c r="R203" i="9"/>
  <c r="R204" i="9"/>
  <c r="R205" i="9"/>
  <c r="R206" i="9"/>
  <c r="R207" i="9"/>
  <c r="R208" i="9"/>
  <c r="R209" i="9"/>
  <c r="R210" i="9"/>
  <c r="R211" i="9"/>
  <c r="R212" i="9"/>
  <c r="R213" i="9"/>
  <c r="R214" i="9"/>
  <c r="R215" i="9"/>
  <c r="R216" i="9"/>
  <c r="R217" i="9"/>
  <c r="R218" i="9"/>
  <c r="R219" i="9"/>
  <c r="R220" i="9"/>
  <c r="R221" i="9"/>
  <c r="R222" i="9"/>
  <c r="R223" i="9"/>
  <c r="R224" i="9"/>
  <c r="R225" i="9"/>
  <c r="R226" i="9"/>
  <c r="R227" i="9"/>
  <c r="R228" i="9"/>
  <c r="R229" i="9"/>
  <c r="R230" i="9"/>
  <c r="R231" i="9"/>
  <c r="R232" i="9"/>
  <c r="R233" i="9"/>
  <c r="R234" i="9"/>
  <c r="R235" i="9"/>
  <c r="R236" i="9"/>
  <c r="R237" i="9"/>
  <c r="R238" i="9"/>
  <c r="R239" i="9"/>
  <c r="R240" i="9"/>
  <c r="R241" i="9"/>
  <c r="R242" i="9"/>
  <c r="R243" i="9"/>
  <c r="R244" i="9"/>
  <c r="R245" i="9"/>
  <c r="R246" i="9"/>
  <c r="R247" i="9"/>
  <c r="R248" i="9"/>
  <c r="R249" i="9"/>
  <c r="R250" i="9"/>
  <c r="R251" i="9"/>
  <c r="R252" i="9"/>
  <c r="R253" i="9"/>
  <c r="R254" i="9"/>
  <c r="R255" i="9"/>
  <c r="R256" i="9"/>
  <c r="R257" i="9"/>
  <c r="R258" i="9"/>
  <c r="R259" i="9"/>
  <c r="R260" i="9"/>
  <c r="R261" i="9"/>
  <c r="R262" i="9"/>
  <c r="R263" i="9"/>
  <c r="R264" i="9"/>
  <c r="R265" i="9"/>
  <c r="R266" i="9"/>
  <c r="R267" i="9"/>
  <c r="R268" i="9"/>
  <c r="R269" i="9"/>
  <c r="R270" i="9"/>
  <c r="R271" i="9"/>
  <c r="R272" i="9"/>
  <c r="R273" i="9"/>
  <c r="R274" i="9"/>
  <c r="R275" i="9"/>
  <c r="R276" i="9"/>
  <c r="R277" i="9"/>
  <c r="R278" i="9"/>
  <c r="R279" i="9"/>
  <c r="R280" i="9"/>
  <c r="R281" i="9"/>
  <c r="R282" i="9"/>
  <c r="R283" i="9"/>
  <c r="R284" i="9"/>
  <c r="R285" i="9"/>
  <c r="R286" i="9"/>
  <c r="R287" i="9"/>
  <c r="R288" i="9"/>
  <c r="R289" i="9"/>
  <c r="R290" i="9"/>
  <c r="R291" i="9"/>
  <c r="R292" i="9"/>
  <c r="R293" i="9"/>
  <c r="R294" i="9"/>
  <c r="R295" i="9"/>
  <c r="R296" i="9"/>
  <c r="R297" i="9"/>
  <c r="R298" i="9"/>
  <c r="R299" i="9"/>
  <c r="R300" i="9"/>
  <c r="R301" i="9"/>
  <c r="R302" i="9"/>
  <c r="R303" i="9"/>
  <c r="R304" i="9"/>
  <c r="R305" i="9"/>
  <c r="R306" i="9"/>
  <c r="R307" i="9"/>
  <c r="R308" i="9"/>
  <c r="R309" i="9"/>
  <c r="R310" i="9"/>
  <c r="R311" i="9"/>
  <c r="R312" i="9"/>
  <c r="R313" i="9"/>
  <c r="R314" i="9"/>
  <c r="R315" i="9"/>
  <c r="R316" i="9"/>
  <c r="R317" i="9"/>
  <c r="R318" i="9"/>
  <c r="R319" i="9"/>
  <c r="R320" i="9"/>
  <c r="R321" i="9"/>
  <c r="R322" i="9"/>
  <c r="R323" i="9"/>
  <c r="R324" i="9"/>
  <c r="R325" i="9"/>
  <c r="R326" i="9"/>
  <c r="R327" i="9"/>
  <c r="R328" i="9"/>
  <c r="R329" i="9"/>
  <c r="R330" i="9"/>
  <c r="R331" i="9"/>
  <c r="R332" i="9"/>
  <c r="R333" i="9"/>
  <c r="R334" i="9"/>
  <c r="R335" i="9"/>
  <c r="R336" i="9"/>
  <c r="R337" i="9"/>
  <c r="R338" i="9"/>
  <c r="R339" i="9"/>
  <c r="R340" i="9"/>
  <c r="R341" i="9"/>
  <c r="R342" i="9"/>
  <c r="R343" i="9"/>
  <c r="R344" i="9"/>
  <c r="R345" i="9"/>
  <c r="R346" i="9"/>
  <c r="R347" i="9"/>
  <c r="R348" i="9"/>
  <c r="R349" i="9"/>
  <c r="R350" i="9"/>
  <c r="R351" i="9"/>
  <c r="R352" i="9"/>
  <c r="R353" i="9"/>
  <c r="R354" i="9"/>
  <c r="R355" i="9"/>
  <c r="R356" i="9"/>
  <c r="R357" i="9"/>
  <c r="R358" i="9"/>
  <c r="R359" i="9"/>
  <c r="R360" i="9"/>
  <c r="R361" i="9"/>
  <c r="R362" i="9"/>
  <c r="R363" i="9"/>
  <c r="R364" i="9"/>
  <c r="R365" i="9"/>
  <c r="R366" i="9"/>
  <c r="R367" i="9"/>
  <c r="R368" i="9"/>
  <c r="R369" i="9"/>
  <c r="R370" i="9"/>
  <c r="R371" i="9"/>
  <c r="R372" i="9"/>
  <c r="R373" i="9"/>
  <c r="R374" i="9"/>
  <c r="R375" i="9"/>
  <c r="R376" i="9"/>
  <c r="R377" i="9"/>
  <c r="R378" i="9"/>
  <c r="R379" i="9"/>
  <c r="R380" i="9"/>
  <c r="R381" i="9"/>
  <c r="R382" i="9"/>
  <c r="R383" i="9"/>
  <c r="R384" i="9"/>
  <c r="R385" i="9"/>
  <c r="R386" i="9"/>
  <c r="R387" i="9"/>
  <c r="R388" i="9"/>
  <c r="R389" i="9"/>
  <c r="R390" i="9"/>
  <c r="R391" i="9"/>
  <c r="R392" i="9"/>
  <c r="R393" i="9"/>
  <c r="R394" i="9"/>
  <c r="R395" i="9"/>
  <c r="R396" i="9"/>
  <c r="R397" i="9"/>
  <c r="R398" i="9"/>
  <c r="R399" i="9"/>
  <c r="R400" i="9"/>
  <c r="R401" i="9"/>
  <c r="R402" i="9"/>
  <c r="R403" i="9"/>
  <c r="R404" i="9"/>
  <c r="R405" i="9"/>
  <c r="R406" i="9"/>
  <c r="R407" i="9"/>
  <c r="R408" i="9"/>
  <c r="R409" i="9"/>
  <c r="R410" i="9"/>
  <c r="R411" i="9"/>
  <c r="R412" i="9"/>
  <c r="R413" i="9"/>
  <c r="R414" i="9"/>
  <c r="R415" i="9"/>
  <c r="R416" i="9"/>
  <c r="R417" i="9"/>
  <c r="R418" i="9"/>
  <c r="R419" i="9"/>
  <c r="R420" i="9"/>
  <c r="R421" i="9"/>
  <c r="R422" i="9"/>
  <c r="R423" i="9"/>
  <c r="R424" i="9"/>
  <c r="R425" i="9"/>
  <c r="R426" i="9"/>
  <c r="R427" i="9"/>
  <c r="R428" i="9"/>
  <c r="R429" i="9"/>
  <c r="R430" i="9"/>
  <c r="R431" i="9"/>
  <c r="R432" i="9"/>
  <c r="R433" i="9"/>
  <c r="R434" i="9"/>
  <c r="R435" i="9"/>
  <c r="R436" i="9"/>
  <c r="R437" i="9"/>
  <c r="R438" i="9"/>
  <c r="R439" i="9"/>
  <c r="R440" i="9"/>
  <c r="R441" i="9"/>
  <c r="R442" i="9"/>
  <c r="R443" i="9"/>
  <c r="R444" i="9"/>
  <c r="R445" i="9"/>
  <c r="R446" i="9"/>
  <c r="R447" i="9"/>
  <c r="R448" i="9"/>
  <c r="R449" i="9"/>
  <c r="R450" i="9"/>
  <c r="R451" i="9"/>
  <c r="R452" i="9"/>
  <c r="R453" i="9"/>
  <c r="R454" i="9"/>
  <c r="R455" i="9"/>
  <c r="R456" i="9"/>
  <c r="R457" i="9"/>
  <c r="R458" i="9"/>
  <c r="R459" i="9"/>
  <c r="R460" i="9"/>
  <c r="R461" i="9"/>
  <c r="R462" i="9"/>
  <c r="R463" i="9"/>
  <c r="R464" i="9"/>
  <c r="R465" i="9"/>
  <c r="R466" i="9"/>
  <c r="R467" i="9"/>
  <c r="R468" i="9"/>
  <c r="R469" i="9"/>
  <c r="R470" i="9"/>
  <c r="R471" i="9"/>
  <c r="R472" i="9"/>
  <c r="R473" i="9"/>
  <c r="R474" i="9"/>
  <c r="R475" i="9"/>
  <c r="R476" i="9"/>
  <c r="R477" i="9"/>
  <c r="R478" i="9"/>
  <c r="R479" i="9"/>
  <c r="R480" i="9"/>
  <c r="R481" i="9"/>
  <c r="R482" i="9"/>
  <c r="R483" i="9"/>
  <c r="R484" i="9"/>
  <c r="R485" i="9"/>
  <c r="R486" i="9"/>
  <c r="R487" i="9"/>
  <c r="R488" i="9"/>
  <c r="R489" i="9"/>
  <c r="R490" i="9"/>
  <c r="R491" i="9"/>
  <c r="R492" i="9"/>
  <c r="R493" i="9"/>
  <c r="R494" i="9"/>
  <c r="R495" i="9"/>
  <c r="R496" i="9"/>
  <c r="R497" i="9"/>
  <c r="R498" i="9"/>
  <c r="R499" i="9"/>
  <c r="R500" i="9"/>
  <c r="R501" i="9"/>
  <c r="R502" i="9"/>
  <c r="R503" i="9"/>
  <c r="R504" i="9"/>
  <c r="R505" i="9"/>
  <c r="R506" i="9"/>
  <c r="R507" i="9"/>
  <c r="R508" i="9"/>
  <c r="R509" i="9"/>
  <c r="R510" i="9"/>
  <c r="R511" i="9"/>
  <c r="R512" i="9"/>
  <c r="R513" i="9"/>
  <c r="R514" i="9"/>
  <c r="R515" i="9"/>
  <c r="R516" i="9"/>
  <c r="R517" i="9"/>
  <c r="R518" i="9"/>
  <c r="R519" i="9"/>
  <c r="R520" i="9"/>
  <c r="R521" i="9"/>
  <c r="R522" i="9"/>
  <c r="R523" i="9"/>
  <c r="R524" i="9"/>
  <c r="R525" i="9"/>
  <c r="R526" i="9"/>
  <c r="R527" i="9"/>
  <c r="R528" i="9"/>
  <c r="R529" i="9"/>
  <c r="R530" i="9"/>
  <c r="R531" i="9"/>
  <c r="R532" i="9"/>
  <c r="R533" i="9"/>
  <c r="R534" i="9"/>
  <c r="R535" i="9"/>
  <c r="R536" i="9"/>
  <c r="R537" i="9"/>
  <c r="R538" i="9"/>
  <c r="R539" i="9"/>
  <c r="R540" i="9"/>
  <c r="R541" i="9"/>
  <c r="R542" i="9"/>
  <c r="R543" i="9"/>
  <c r="R544" i="9"/>
  <c r="R545" i="9"/>
  <c r="R546" i="9"/>
  <c r="R547" i="9"/>
  <c r="R548" i="9"/>
  <c r="R549" i="9"/>
  <c r="R550" i="9"/>
  <c r="R551" i="9"/>
  <c r="R552" i="9"/>
  <c r="R553" i="9"/>
  <c r="R554" i="9"/>
  <c r="R555" i="9"/>
  <c r="R556" i="9"/>
  <c r="R557" i="9"/>
  <c r="R558" i="9"/>
  <c r="R559" i="9"/>
  <c r="R560" i="9"/>
  <c r="R561" i="9"/>
  <c r="R562" i="9"/>
  <c r="R563" i="9"/>
  <c r="R564" i="9"/>
  <c r="R565" i="9"/>
  <c r="R566" i="9"/>
  <c r="R567" i="9"/>
  <c r="R568" i="9"/>
  <c r="R569" i="9"/>
  <c r="R570" i="9"/>
  <c r="R571" i="9"/>
  <c r="R572" i="9"/>
  <c r="R573" i="9"/>
  <c r="R574" i="9"/>
  <c r="R575" i="9"/>
  <c r="R576" i="9"/>
  <c r="R577" i="9"/>
  <c r="R578" i="9"/>
  <c r="R579" i="9"/>
  <c r="R580" i="9"/>
  <c r="R581" i="9"/>
  <c r="R582" i="9"/>
  <c r="R583" i="9"/>
  <c r="R584" i="9"/>
  <c r="R585" i="9"/>
  <c r="R586" i="9"/>
  <c r="R587" i="9"/>
  <c r="R588" i="9"/>
  <c r="R589" i="9"/>
  <c r="R590" i="9"/>
  <c r="R591" i="9"/>
  <c r="R592" i="9"/>
  <c r="R593" i="9"/>
  <c r="R594" i="9"/>
  <c r="R595" i="9"/>
  <c r="R596" i="9"/>
  <c r="R597" i="9"/>
  <c r="R598" i="9"/>
  <c r="R599" i="9"/>
  <c r="R600" i="9"/>
  <c r="R601" i="9"/>
  <c r="R602" i="9"/>
  <c r="R603" i="9"/>
  <c r="R604" i="9"/>
  <c r="R605" i="9"/>
  <c r="R606" i="9"/>
  <c r="R607" i="9"/>
  <c r="R608" i="9"/>
  <c r="R609" i="9"/>
  <c r="R610" i="9"/>
  <c r="R611" i="9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793355-D87C-4102-9D8A-FA5A79F38956}" keepAlive="1" name="Query - dataset_1" description="Connection to the 'dataset_1' query in the workbook." type="5" refreshedVersion="0" background="1">
    <dbPr connection="Provider=Microsoft.Mashup.OleDb.1;Data Source=$Workbook$;Location=dataset_1;Extended Properties=&quot;&quot;" command="SELECT * FROM [dataset_1]"/>
  </connection>
  <connection id="2" xr16:uid="{C23777ED-5A98-4F80-90DC-13D1ABA9E306}" keepAlive="1" name="Query - dataset_1 (2)" description="Connection to the 'dataset_1 (2)' query in the workbook." type="5" refreshedVersion="0" background="1">
    <dbPr connection="Provider=Microsoft.Mashup.OleDb.1;Data Source=$Workbook$;Location=&quot;dataset_1 (2)&quot;;Extended Properties=&quot;&quot;" command="SELECT * FROM [dataset_1 (2)]"/>
  </connection>
  <connection id="3" xr16:uid="{CB0A6730-E558-4CC6-9352-72C854CD9A2B}" keepAlive="1" name="Query - dataset_2" description="Connection to the 'dataset_2' query in the workbook." type="5" refreshedVersion="8" background="1" saveData="1">
    <dbPr connection="Provider=Microsoft.Mashup.OleDb.1;Data Source=$Workbook$;Location=dataset_2;Extended Properties=&quot;&quot;" command="SELECT * FROM [dataset_2]"/>
  </connection>
  <connection id="4" xr16:uid="{CBE9C691-6098-4A02-BDBE-6E010CDB6937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</connections>
</file>

<file path=xl/sharedStrings.xml><?xml version="1.0" encoding="utf-8"?>
<sst xmlns="http://schemas.openxmlformats.org/spreadsheetml/2006/main" count="1894" uniqueCount="41">
  <si>
    <t>instant</t>
  </si>
  <si>
    <t>dteday</t>
  </si>
  <si>
    <t>season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</si>
  <si>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</si>
  <si>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</si>
  <si>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</si>
  <si>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</si>
  <si>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</si>
  <si>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</si>
  <si>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</si>
  <si>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</si>
  <si>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</si>
  <si>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</si>
  <si>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</si>
  <si>
    <t>daytype</t>
  </si>
  <si>
    <t>Demandlevel</t>
  </si>
  <si>
    <t>weather_type</t>
  </si>
  <si>
    <t>Time_period</t>
  </si>
  <si>
    <t>weekend</t>
  </si>
  <si>
    <t>clear sky</t>
  </si>
  <si>
    <t>Morning</t>
  </si>
  <si>
    <t>Little cloudy</t>
  </si>
  <si>
    <t>Afternoon</t>
  </si>
  <si>
    <t>Evening</t>
  </si>
  <si>
    <t>Little Rain</t>
  </si>
  <si>
    <t>Night</t>
  </si>
  <si>
    <t>Heavy Rainfoll</t>
  </si>
  <si>
    <t>weekday2</t>
  </si>
  <si>
    <t>casual user</t>
  </si>
  <si>
    <t>registered user</t>
  </si>
  <si>
    <t>Total rental user</t>
  </si>
  <si>
    <t>Row Labels</t>
  </si>
  <si>
    <t>Sunday</t>
  </si>
  <si>
    <t>Monday</t>
  </si>
  <si>
    <t>Tuesday</t>
  </si>
  <si>
    <t>Wednesday</t>
  </si>
  <si>
    <t>Thursday</t>
  </si>
  <si>
    <t>Saturday</t>
  </si>
  <si>
    <t>Grand Total</t>
  </si>
  <si>
    <t>Sum of Total rental user</t>
  </si>
  <si>
    <t>Friday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</si>
</sst>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2" fillId="0" borderId="0" xfId="0" applyFont="1"/>
    <xf numFmtId="14" fontId="3" fillId="0" borderId="0" xfId="0" applyNumberFormat="1" applyFont="1"/>
    <xf numFmtId="0" fontId="1" fillId="0" borderId="0" xfId="0" applyFont="1"/>
    <xf numFmtId="14" fontId="0" fillId="0" borderId="0" xfId="0" applyNumberFormat="1"/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9" formatCode="m/d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[dataset_1.xlsx]Weather Wise Rentals!PivotTable4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latin typeface="Times New Roman" panose="02020603050405020304" pitchFamily="18" charset="0"/>
                <a:cs typeface="Times New Roman" panose="02020603050405020304" pitchFamily="18" charset="0"/>
              </a:rPr>
              <a:t>Weather</a:t>
            </a:r>
            <a:r>
              <a:rPr lang="en-US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Wise Rentals </a:t>
            </a:r>
            <a:endParaRPr lang="en-US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'Weather Wise Rentals'!$B$1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'Weather Wise Rentals'!$A$2:$A$6</c:f>
              <c:strCache>
                <c:ptCount val="4"/>
                <c:pt idx="0">
                  <c:v>clear sky</c:v>
                </c:pt>
                <c:pt idx="1">
                  <c:v>Heavy Rainfoll</c:v>
                </c:pt>
                <c:pt idx="2">
                  <c:v>Little cloudy</c:v>
                </c:pt>
                <c:pt idx="3">
                  <c:v>Little Rain</c:v>
                </c:pt>
              </c:strCache>
            </c:strRef>
          </c:cat>
          <c:val>
            <c:numRef>
              <c:f>'Weather Wise Rentals'!$B$2:$B$6</c:f>
              <c:numCache>
                <c:formatCode>General</c:formatCode>
                <c:ptCount val="4"/>
                <c:pt idx="0">
                  <c:v>21973</c:v>
                </c:pt>
                <c:pt idx="1">
                  <c:v>36</c:v>
                </c:pt>
                <c:pt idx="2">
                  <c:v>10426</c:v>
                </c:pt>
                <c:pt idx="3">
                  <c:v>1463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1F-4105-95DA-3C4049E419C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119284992"/>
        <c:axId val="1119283552"/>
      </c:barChart>
      <c:catAx>
        <c:axId val="1119284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283552"/>
        <c:crosses val="autoZero"/>
        <c:auto val="1"/>
        <c:lblAlgn val="ctr"/>
        <c:lblOffset val="100"/>
        <c:noMultiLvlLbl val="0"/>
      </c:catAx>
      <c:valAx>
        <c:axId val="111928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28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[dataset_1.xlsx]Weekday Wise total rentals!PivotTable2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latin typeface="Times New Roman" panose="02020603050405020304" pitchFamily="18" charset="0"/>
                <a:cs typeface="Times New Roman" panose="02020603050405020304" pitchFamily="18" charset="0"/>
              </a:rPr>
              <a:t>Weekday</a:t>
            </a:r>
            <a:r>
              <a:rPr lang="en-US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VS Total rental</a:t>
            </a:r>
            <a:endParaRPr lang="en-US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'Weekday Wise total rentals'!$B$1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'Weekday Wise total rentals'!$A$2:$A$9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Saturday</c:v>
                </c:pt>
                <c:pt idx="6">
                  <c:v>Friday</c:v>
                </c:pt>
              </c:strCache>
            </c:strRef>
          </c:cat>
          <c:val>
            <c:numRef>
              <c:f>'Weekday Wise total rentals'!$B$2:$B$9</c:f>
              <c:numCache>
                <c:formatCode>General</c:formatCode>
                <c:ptCount val="7"/>
                <c:pt idx="0">
                  <c:v>5086</c:v>
                </c:pt>
                <c:pt idx="1">
                  <c:v>5493</c:v>
                </c:pt>
                <c:pt idx="2">
                  <c:v>4918</c:v>
                </c:pt>
                <c:pt idx="3">
                  <c:v>5370</c:v>
                </c:pt>
                <c:pt idx="4">
                  <c:v>5045</c:v>
                </c:pt>
                <c:pt idx="5">
                  <c:v>4173</c:v>
                </c:pt>
                <c:pt idx="6">
                  <c:v>3813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0D-46C4-97EF-DEBE00D588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68757903"/>
        <c:axId val="855152751"/>
      </c:barChart>
      <c:catAx>
        <c:axId val="66875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152751"/>
        <c:crosses val="autoZero"/>
        <c:auto val="1"/>
        <c:lblAlgn val="ctr"/>
        <c:lblOffset val="100"/>
        <c:noMultiLvlLbl val="0"/>
      </c:catAx>
      <c:valAx>
        <c:axId val="85515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757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[dataset_1.xlsx]Bike rentals by weather type!PivotTable3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'Bike rentals by weather type'!$B$1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B2A-475B-B20D-A2DE33F94D5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B2A-475B-B20D-A2DE33F94D5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B2A-475B-B20D-A2DE33F94D5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B2A-475B-B20D-A2DE33F94D5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'Bike rentals by weather type'!$A$2:$A$6</c:f>
              <c:strCache>
                <c:ptCount val="4"/>
                <c:pt idx="0">
                  <c:v>clear sky</c:v>
                </c:pt>
                <c:pt idx="1">
                  <c:v>Heavy Rainfoll</c:v>
                </c:pt>
                <c:pt idx="2">
                  <c:v>Little cloudy</c:v>
                </c:pt>
                <c:pt idx="3">
                  <c:v>Little Rain</c:v>
                </c:pt>
              </c:strCache>
            </c:strRef>
          </c:cat>
          <c:val>
            <c:numRef>
              <c:f>'Bike rentals by weather type'!$B$2:$B$6</c:f>
              <c:numCache>
                <c:formatCode>General</c:formatCode>
                <c:ptCount val="4"/>
                <c:pt idx="0">
                  <c:v>21973</c:v>
                </c:pt>
                <c:pt idx="1">
                  <c:v>36</c:v>
                </c:pt>
                <c:pt idx="2">
                  <c:v>10426</c:v>
                </c:pt>
                <c:pt idx="3">
                  <c:v>1463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A7-4A58-9D11-A357AEBC976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[dataset_1.xlsx]Temperature vs Rentals!PivotTable5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latin typeface="Times New Roman" panose="02020603050405020304" pitchFamily="18" charset="0"/>
                <a:cs typeface="Times New Roman" panose="02020603050405020304" pitchFamily="18" charset="0"/>
              </a:rPr>
              <a:t>Temperature</a:t>
            </a:r>
            <a:r>
              <a:rPr lang="en-US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VS Rentals</a:t>
            </a:r>
            <a:endParaRPr lang="en-US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'Temperature vs Rentals'!$B$1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'Temperature vs Rentals'!$A$2:$A$25</c:f>
              <c:strCache>
                <c:ptCount val="23"/>
                <c:pt idx="0">
                  <c:v>0.02</c:v>
                </c:pt>
                <c:pt idx="1">
                  <c:v>0.04</c:v>
                </c:pt>
                <c:pt idx="2">
                  <c:v>0.06</c:v>
                </c:pt>
                <c:pt idx="3">
                  <c:v>0.08</c:v>
                </c:pt>
                <c:pt idx="4">
                  <c:v>0.1</c:v>
                </c:pt>
                <c:pt idx="5">
                  <c:v>0.12</c:v>
                </c:pt>
                <c:pt idx="6">
                  <c:v>0.14</c:v>
                </c:pt>
                <c:pt idx="7">
                  <c:v>0.16</c:v>
                </c:pt>
                <c:pt idx="8">
                  <c:v>0.18</c:v>
                </c:pt>
                <c:pt idx="9">
                  <c:v>0.2</c:v>
                </c:pt>
                <c:pt idx="10">
                  <c:v>0.22</c:v>
                </c:pt>
                <c:pt idx="11">
                  <c:v>0.24</c:v>
                </c:pt>
                <c:pt idx="12">
                  <c:v>0.26</c:v>
                </c:pt>
                <c:pt idx="13">
                  <c:v>0.28</c:v>
                </c:pt>
                <c:pt idx="14">
                  <c:v>0.3</c:v>
                </c:pt>
                <c:pt idx="15">
                  <c:v>0.32</c:v>
                </c:pt>
                <c:pt idx="16">
                  <c:v>0.34</c:v>
                </c:pt>
                <c:pt idx="17">
                  <c:v>0.36</c:v>
                </c:pt>
                <c:pt idx="18">
                  <c:v>0.38</c:v>
                </c:pt>
                <c:pt idx="19">
                  <c:v>0.4</c:v>
                </c:pt>
                <c:pt idx="20">
                  <c:v>0.42</c:v>
                </c:pt>
                <c:pt idx="21">
                  <c:v>0.44</c:v>
                </c:pt>
                <c:pt idx="22">
                  <c:v>0.46</c:v>
                </c:pt>
              </c:strCache>
            </c:strRef>
          </c:cat>
          <c:val>
            <c:numRef>
              <c:f>'Temperature vs Rentals'!$B$2:$B$25</c:f>
              <c:numCache>
                <c:formatCode>General</c:formatCode>
                <c:ptCount val="23"/>
                <c:pt idx="0">
                  <c:v>168</c:v>
                </c:pt>
                <c:pt idx="1">
                  <c:v>387</c:v>
                </c:pt>
                <c:pt idx="2">
                  <c:v>457</c:v>
                </c:pt>
                <c:pt idx="3">
                  <c:v>276</c:v>
                </c:pt>
                <c:pt idx="4">
                  <c:v>495</c:v>
                </c:pt>
                <c:pt idx="5">
                  <c:v>1498</c:v>
                </c:pt>
                <c:pt idx="6">
                  <c:v>2788</c:v>
                </c:pt>
                <c:pt idx="7">
                  <c:v>4164</c:v>
                </c:pt>
                <c:pt idx="8">
                  <c:v>2583</c:v>
                </c:pt>
                <c:pt idx="9">
                  <c:v>5935</c:v>
                </c:pt>
                <c:pt idx="10">
                  <c:v>4362</c:v>
                </c:pt>
                <c:pt idx="11">
                  <c:v>2726</c:v>
                </c:pt>
                <c:pt idx="12">
                  <c:v>2110</c:v>
                </c:pt>
                <c:pt idx="13">
                  <c:v>890</c:v>
                </c:pt>
                <c:pt idx="14">
                  <c:v>1733</c:v>
                </c:pt>
                <c:pt idx="15">
                  <c:v>945</c:v>
                </c:pt>
                <c:pt idx="16">
                  <c:v>504</c:v>
                </c:pt>
                <c:pt idx="17">
                  <c:v>656</c:v>
                </c:pt>
                <c:pt idx="18">
                  <c:v>160</c:v>
                </c:pt>
                <c:pt idx="19">
                  <c:v>342</c:v>
                </c:pt>
                <c:pt idx="20">
                  <c:v>260</c:v>
                </c:pt>
                <c:pt idx="21">
                  <c:v>194</c:v>
                </c:pt>
                <c:pt idx="22">
                  <c:v>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04-4A62-8812-75DDAE4A9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19269632"/>
        <c:axId val="1119261952"/>
      </c:barChart>
      <c:catAx>
        <c:axId val="1119269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261952"/>
        <c:crosses val="autoZero"/>
        <c:auto val="1"/>
        <c:lblAlgn val="ctr"/>
        <c:lblOffset val="100"/>
        <c:noMultiLvlLbl val="0"/>
      </c:catAx>
      <c:valAx>
        <c:axId val="1119261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269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A154B4-A0F0-9302-AE21-464D1A2155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2</xdr:row>
      <xdr:rowOff>38099</xdr:rowOff>
    </xdr:from>
    <xdr:to>
      <xdr:col>11</xdr:col>
      <xdr:colOff>304800</xdr:colOff>
      <xdr:row>17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8996B1-E368-8AED-EE0B-1DFFDC7E15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295275</xdr:colOff>
      <xdr:row>3</xdr:row>
      <xdr:rowOff>152401</xdr:rowOff>
    </xdr:from>
    <xdr:to>
      <xdr:col>9</xdr:col>
      <xdr:colOff>76200</xdr:colOff>
      <xdr:row>14</xdr:row>
      <xdr:rowOff>123826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1A39C5-8447-80E7-A195-E7308AC82F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3294C4-5DFA-7ACC-91ED-410151FD8A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65.750776157409" createdVersion="8" refreshedVersion="8" minRefreshableVersion="3" recordCount="610" xr:uid="{72690D54-BAE1-4ABD-A0D9-A9F0C360B61B}">
  <cacheSource type="worksheet">
    <worksheetSource name="Merge1"/>
  </cacheSource>
  <cacheFields count="18">
    <cacheField name="instant" numFmtId="0">
      <sharedItems containsSemiMixedTypes="0" containsString="0" containsNumber="1" containsInteger="1" minValue="1" maxValue="610"/>
    </cacheField>
    <cacheField name="dteday" numFmtId="14">
      <sharedItems containsSemiMixedTypes="0" containsNonDate="0" containsDate="1" containsString="0" minDate="2011-01-01T00:00:00" maxDate="2011-01-29T00:00:00"/>
    </cacheField>
    <cacheField name="season" numFmtId="0">
      <sharedItems containsSemiMixedTypes="0" containsString="0" containsNumber="1" containsInteger="1" minValue="1" maxValue="1"/>
    </cacheField>
    <cacheField name="hr" numFmtId="0">
      <sharedItems containsSemiMixedTypes="0" containsString="0" containsNumber="1" containsInteger="1" minValue="0" maxValue="23"/>
    </cacheField>
    <cacheField name="holiday" numFmtId="0">
      <sharedItems/>
    </cacheField>
    <cacheField name="weekday" numFmtId="0">
      <sharedItems containsSemiMixedTypes="0" containsString="0" containsNumber="1" containsInteger="1" minValue="0" maxValue="6"/>
    </cacheField>
    <cacheField name="weathersit" numFmtId="0">
      <sharedItems containsSemiMixedTypes="0" containsString="0" containsNumber="1" containsInteger="1" minValue="1" maxValue="4"/>
    </cacheField>
    <cacheField name="temp" numFmtId="0">
      <sharedItems containsSemiMixedTypes="0" containsString="0" containsNumber="1" minValue="0.02" maxValue="0.46" count="23">
        <n v="0.24"/>
        <n v="0.22"/>
        <n v="0.2"/>
        <n v="0.32"/>
        <n v="0.38"/>
        <n v="0.36"/>
        <n v="0.42"/>
        <n v="0.46"/>
        <n v="0.44"/>
        <n v="0.4"/>
        <n v="0.34"/>
        <n v="0.3"/>
        <n v="0.26"/>
        <n v="0.16"/>
        <n v="0.14000000000000001"/>
        <n v="0.18"/>
        <n v="0.12"/>
        <n v="0.28000000000000003"/>
        <n v="0.1"/>
        <n v="0.08"/>
        <n v="0.06"/>
        <n v="0.04"/>
        <n v="0.02"/>
      </sharedItems>
    </cacheField>
    <cacheField name="daytype" numFmtId="0">
      <sharedItems count="2">
        <s v="weekend"/>
        <s v="weekday"/>
      </sharedItems>
    </cacheField>
    <cacheField name="weather_type" numFmtId="0">
      <sharedItems count="4">
        <s v="clear sky"/>
        <s v="Little cloudy"/>
        <s v="Little Rain"/>
        <s v="Heavy Rainfoll"/>
      </sharedItems>
    </cacheField>
    <cacheField name="Time_period" numFmtId="0">
      <sharedItems/>
    </cacheField>
    <cacheField name="hum" numFmtId="0">
      <sharedItems containsSemiMixedTypes="0" containsString="0" containsNumber="1" minValue="0.21" maxValue="1"/>
    </cacheField>
    <cacheField name="casual user" numFmtId="0">
      <sharedItems containsSemiMixedTypes="0" containsString="0" containsNumber="1" containsInteger="1" minValue="0" maxValue="47"/>
    </cacheField>
    <cacheField name="registered user" numFmtId="0">
      <sharedItems containsSemiMixedTypes="0" containsString="0" containsNumber="1" containsInteger="1" minValue="0" maxValue="247"/>
    </cacheField>
    <cacheField name="Total rental user" numFmtId="0">
      <sharedItems containsSemiMixedTypes="0" containsString="0" containsNumber="1" containsInteger="1" minValue="1" maxValue="249"/>
    </cacheField>
    <cacheField name="atemp" numFmtId="0">
      <sharedItems containsSemiMixedTypes="0" containsString="0" containsNumber="1" minValue="0" maxValue="0.45450000000000002"/>
    </cacheField>
    <cacheField name="windspeed" numFmtId="0">
      <sharedItems containsSemiMixedTypes="0" containsString="0" containsNumber="1" minValue="0" maxValue="0.58209999999999995"/>
    </cacheField>
    <cacheField name="weekday2" numFmtId="0">
      <sharedItems count="7">
        <s v="Saturday"/>
        <s v=" "/>
        <s v="Sunday"/>
        <s v="Monday"/>
        <s v="Tuesday"/>
        <s v="Wednesday"/>
        <s v="Thursday"/>
      </sharedItems>
    </cacheField>
  </cacheFields>
  <extLst>
    <ext xmlns:x14="http://schemas.microsoft.com/office/spreadsheetml/2009/9/main" uri="{725AE2AE-9491-48be-B2B4-4EB974FC3084}">
      <x14:pivotCacheDefinition pivotCacheId="159534951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0">
  <r>
    <n v="1"/>
    <d v="2011-01-01T00:00:00"/>
    <n v="1"/>
    <n v="0"/>
    <b v="0"/>
    <n v="6"/>
    <n v="1"/>
    <x v="0"/>
    <x v="0"/>
    <x v="0"/>
    <s v="Morning"/>
    <n v="0.81"/>
    <n v="3"/>
    <n v="13"/>
    <n v="16"/>
    <n v="0.28789999999999999"/>
    <n v="0"/>
    <x v="0"/>
  </r>
  <r>
    <n v="2"/>
    <d v="2011-01-01T00:00:00"/>
    <n v="1"/>
    <n v="1"/>
    <b v="0"/>
    <n v="6"/>
    <n v="1"/>
    <x v="1"/>
    <x v="0"/>
    <x v="0"/>
    <s v="Morning"/>
    <n v="0.8"/>
    <n v="8"/>
    <n v="32"/>
    <n v="40"/>
    <n v="0.2727"/>
    <n v="0"/>
    <x v="0"/>
  </r>
  <r>
    <n v="3"/>
    <d v="2011-01-01T00:00:00"/>
    <n v="1"/>
    <n v="2"/>
    <b v="0"/>
    <n v="6"/>
    <n v="1"/>
    <x v="1"/>
    <x v="0"/>
    <x v="0"/>
    <s v="Morning"/>
    <n v="0.8"/>
    <n v="5"/>
    <n v="27"/>
    <n v="32"/>
    <n v="0.2727"/>
    <n v="0"/>
    <x v="0"/>
  </r>
  <r>
    <n v="4"/>
    <d v="2011-01-01T00:00:00"/>
    <n v="1"/>
    <n v="3"/>
    <b v="0"/>
    <n v="6"/>
    <n v="1"/>
    <x v="0"/>
    <x v="0"/>
    <x v="0"/>
    <s v="Morning"/>
    <n v="0.75"/>
    <n v="3"/>
    <n v="10"/>
    <n v="13"/>
    <n v="0.28789999999999999"/>
    <n v="0"/>
    <x v="0"/>
  </r>
  <r>
    <n v="5"/>
    <d v="2011-01-01T00:00:00"/>
    <n v="1"/>
    <n v="4"/>
    <b v="0"/>
    <n v="6"/>
    <n v="1"/>
    <x v="0"/>
    <x v="0"/>
    <x v="0"/>
    <s v="Morning"/>
    <n v="0.75"/>
    <n v="0"/>
    <n v="1"/>
    <n v="1"/>
    <n v="0.28789999999999999"/>
    <n v="0"/>
    <x v="0"/>
  </r>
  <r>
    <n v="6"/>
    <d v="2011-01-01T00:00:00"/>
    <n v="1"/>
    <n v="5"/>
    <b v="0"/>
    <n v="6"/>
    <n v="2"/>
    <x v="0"/>
    <x v="0"/>
    <x v="1"/>
    <s v="Morning"/>
    <n v="0.75"/>
    <n v="0"/>
    <n v="1"/>
    <n v="1"/>
    <n v="0.2576"/>
    <n v="8.9599999999999999E-2"/>
    <x v="0"/>
  </r>
  <r>
    <n v="7"/>
    <d v="2011-01-01T00:00:00"/>
    <n v="1"/>
    <n v="6"/>
    <b v="0"/>
    <n v="6"/>
    <n v="1"/>
    <x v="1"/>
    <x v="0"/>
    <x v="0"/>
    <s v="Morning"/>
    <n v="0.8"/>
    <n v="2"/>
    <n v="0"/>
    <n v="2"/>
    <n v="0.2727"/>
    <n v="0"/>
    <x v="0"/>
  </r>
  <r>
    <n v="8"/>
    <d v="2011-01-01T00:00:00"/>
    <n v="1"/>
    <n v="7"/>
    <b v="0"/>
    <n v="6"/>
    <n v="1"/>
    <x v="2"/>
    <x v="0"/>
    <x v="0"/>
    <s v="Morning"/>
    <n v="0.86"/>
    <n v="1"/>
    <n v="2"/>
    <n v="3"/>
    <n v="0.2576"/>
    <n v="0"/>
    <x v="0"/>
  </r>
  <r>
    <n v="9"/>
    <d v="2011-01-01T00:00:00"/>
    <n v="1"/>
    <n v="8"/>
    <b v="0"/>
    <n v="6"/>
    <n v="1"/>
    <x v="0"/>
    <x v="0"/>
    <x v="0"/>
    <s v="Morning"/>
    <n v="0.75"/>
    <n v="1"/>
    <n v="7"/>
    <n v="8"/>
    <n v="0.19993"/>
    <n v="0"/>
    <x v="0"/>
  </r>
  <r>
    <n v="10"/>
    <d v="2011-01-01T00:00:00"/>
    <n v="1"/>
    <n v="9"/>
    <b v="0"/>
    <n v="6"/>
    <n v="1"/>
    <x v="3"/>
    <x v="0"/>
    <x v="0"/>
    <s v="Morning"/>
    <n v="0.76"/>
    <n v="8"/>
    <n v="6"/>
    <n v="14"/>
    <n v="0.34849999999999998"/>
    <n v="0"/>
    <x v="0"/>
  </r>
  <r>
    <n v="11"/>
    <d v="2011-01-01T00:00:00"/>
    <n v="1"/>
    <n v="10"/>
    <b v="0"/>
    <n v="6"/>
    <n v="1"/>
    <x v="4"/>
    <x v="0"/>
    <x v="0"/>
    <s v="Morning"/>
    <n v="0.76"/>
    <n v="12"/>
    <n v="24"/>
    <n v="36"/>
    <n v="0.39389999999999997"/>
    <n v="0.25369999999999998"/>
    <x v="0"/>
  </r>
  <r>
    <n v="12"/>
    <d v="2011-01-01T00:00:00"/>
    <n v="1"/>
    <n v="11"/>
    <b v="0"/>
    <n v="6"/>
    <n v="1"/>
    <x v="5"/>
    <x v="0"/>
    <x v="0"/>
    <s v="Morning"/>
    <n v="0.81"/>
    <n v="26"/>
    <n v="30"/>
    <n v="56"/>
    <n v="0.33329999999999999"/>
    <n v="0.28360000000000002"/>
    <x v="0"/>
  </r>
  <r>
    <n v="13"/>
    <d v="2011-01-01T00:00:00"/>
    <n v="1"/>
    <n v="12"/>
    <b v="0"/>
    <n v="6"/>
    <n v="1"/>
    <x v="6"/>
    <x v="0"/>
    <x v="0"/>
    <s v="Afternoon"/>
    <n v="0.77"/>
    <n v="29"/>
    <n v="55"/>
    <n v="84"/>
    <n v="0.42420000000000002"/>
    <n v="0.28360000000000002"/>
    <x v="0"/>
  </r>
  <r>
    <n v="14"/>
    <d v="2011-01-01T00:00:00"/>
    <n v="1"/>
    <n v="13"/>
    <b v="0"/>
    <n v="6"/>
    <n v="2"/>
    <x v="7"/>
    <x v="0"/>
    <x v="1"/>
    <s v="Afternoon"/>
    <n v="0.72"/>
    <n v="47"/>
    <n v="47"/>
    <n v="94"/>
    <n v="0.45450000000000002"/>
    <n v="0.29849999999999999"/>
    <x v="0"/>
  </r>
  <r>
    <n v="15"/>
    <d v="2011-01-01T00:00:00"/>
    <n v="1"/>
    <n v="14"/>
    <b v="0"/>
    <n v="6"/>
    <n v="2"/>
    <x v="7"/>
    <x v="0"/>
    <x v="1"/>
    <s v="Afternoon"/>
    <n v="0.72"/>
    <n v="35"/>
    <n v="71"/>
    <n v="106"/>
    <n v="0.45450000000000002"/>
    <n v="0.28360000000000002"/>
    <x v="0"/>
  </r>
  <r>
    <n v="16"/>
    <d v="2011-01-01T00:00:00"/>
    <n v="1"/>
    <n v="15"/>
    <b v="0"/>
    <n v="6"/>
    <n v="2"/>
    <x v="8"/>
    <x v="0"/>
    <x v="1"/>
    <s v="Afternoon"/>
    <n v="0.77"/>
    <n v="40"/>
    <n v="70"/>
    <n v="110"/>
    <n v="0.43940000000000001"/>
    <n v="0.29849999999999999"/>
    <x v="0"/>
  </r>
  <r>
    <n v="17"/>
    <d v="2011-01-01T00:00:00"/>
    <n v="1"/>
    <n v="16"/>
    <b v="0"/>
    <n v="6"/>
    <n v="2"/>
    <x v="6"/>
    <x v="0"/>
    <x v="1"/>
    <s v="Afternoon"/>
    <n v="0.82"/>
    <n v="41"/>
    <n v="52"/>
    <n v="93"/>
    <n v="0.42420000000000002"/>
    <n v="0.29849999999999999"/>
    <x v="0"/>
  </r>
  <r>
    <n v="18"/>
    <d v="2011-01-01T00:00:00"/>
    <n v="1"/>
    <n v="17"/>
    <b v="0"/>
    <n v="6"/>
    <n v="2"/>
    <x v="8"/>
    <x v="0"/>
    <x v="1"/>
    <s v="Evening"/>
    <n v="0.82"/>
    <n v="15"/>
    <n v="52"/>
    <n v="67"/>
    <n v="0.19993"/>
    <n v="0.28360000000000002"/>
    <x v="0"/>
  </r>
  <r>
    <n v="19"/>
    <d v="2011-01-01T00:00:00"/>
    <n v="1"/>
    <n v="18"/>
    <b v="0"/>
    <n v="6"/>
    <n v="3"/>
    <x v="6"/>
    <x v="0"/>
    <x v="2"/>
    <s v="Evening"/>
    <n v="0.88"/>
    <n v="9"/>
    <n v="26"/>
    <n v="35"/>
    <n v="0.42420000000000002"/>
    <n v="0.25369999999999998"/>
    <x v="0"/>
  </r>
  <r>
    <n v="20"/>
    <d v="2011-01-01T00:00:00"/>
    <n v="1"/>
    <n v="19"/>
    <b v="0"/>
    <n v="6"/>
    <n v="3"/>
    <x v="6"/>
    <x v="0"/>
    <x v="2"/>
    <s v="Evening"/>
    <n v="0.88"/>
    <n v="6"/>
    <n v="31"/>
    <n v="37"/>
    <n v="0.42420000000000002"/>
    <n v="0.25369999999999998"/>
    <x v="0"/>
  </r>
  <r>
    <n v="21"/>
    <d v="2011-01-01T00:00:00"/>
    <n v="1"/>
    <n v="20"/>
    <b v="0"/>
    <n v="6"/>
    <n v="2"/>
    <x v="9"/>
    <x v="0"/>
    <x v="1"/>
    <s v="Evening"/>
    <n v="0.87"/>
    <n v="11"/>
    <n v="25"/>
    <n v="36"/>
    <n v="0.40910000000000002"/>
    <n v="0.25369999999999998"/>
    <x v="0"/>
  </r>
  <r>
    <n v="22"/>
    <d v="2011-01-01T00:00:00"/>
    <n v="1"/>
    <n v="21"/>
    <b v="0"/>
    <n v="6"/>
    <n v="2"/>
    <x v="9"/>
    <x v="0"/>
    <x v="1"/>
    <s v="Night"/>
    <n v="0.87"/>
    <n v="3"/>
    <n v="31"/>
    <n v="34"/>
    <n v="0.40910000000000002"/>
    <n v="0.19400000000000001"/>
    <x v="0"/>
  </r>
  <r>
    <n v="23"/>
    <d v="2011-01-01T00:00:00"/>
    <n v="1"/>
    <n v="22"/>
    <b v="0"/>
    <n v="6"/>
    <n v="2"/>
    <x v="9"/>
    <x v="0"/>
    <x v="1"/>
    <s v="Night"/>
    <n v="0.94"/>
    <n v="11"/>
    <n v="17"/>
    <n v="28"/>
    <n v="0.40910000000000002"/>
    <n v="0.22389999999999999"/>
    <x v="0"/>
  </r>
  <r>
    <n v="24"/>
    <d v="2011-01-01T00:00:00"/>
    <n v="1"/>
    <n v="23"/>
    <b v="0"/>
    <n v="6"/>
    <n v="2"/>
    <x v="7"/>
    <x v="0"/>
    <x v="1"/>
    <s v="Night"/>
    <n v="0.88"/>
    <n v="15"/>
    <n v="24"/>
    <n v="39"/>
    <n v="0.19993"/>
    <n v="0.29849999999999999"/>
    <x v="0"/>
  </r>
  <r>
    <n v="25"/>
    <d v="2011-01-02T00:00:00"/>
    <n v="1"/>
    <n v="0"/>
    <b v="0"/>
    <n v="0"/>
    <n v="2"/>
    <x v="7"/>
    <x v="1"/>
    <x v="1"/>
    <s v="Morning"/>
    <n v="0.88"/>
    <n v="4"/>
    <n v="13"/>
    <n v="17"/>
    <n v="0.45450000000000002"/>
    <n v="0.29849999999999999"/>
    <x v="1"/>
  </r>
  <r>
    <n v="26"/>
    <d v="2011-01-02T00:00:00"/>
    <n v="1"/>
    <n v="1"/>
    <b v="0"/>
    <n v="0"/>
    <n v="2"/>
    <x v="8"/>
    <x v="1"/>
    <x v="1"/>
    <s v="Morning"/>
    <n v="0.94"/>
    <n v="1"/>
    <n v="16"/>
    <n v="17"/>
    <n v="0.43940000000000001"/>
    <n v="0.25369999999999998"/>
    <x v="1"/>
  </r>
  <r>
    <n v="27"/>
    <d v="2011-01-02T00:00:00"/>
    <n v="1"/>
    <n v="2"/>
    <b v="0"/>
    <n v="0"/>
    <n v="2"/>
    <x v="6"/>
    <x v="1"/>
    <x v="1"/>
    <s v="Morning"/>
    <n v="1"/>
    <n v="1"/>
    <n v="8"/>
    <n v="9"/>
    <n v="0.42420000000000002"/>
    <n v="0.28360000000000002"/>
    <x v="1"/>
  </r>
  <r>
    <n v="28"/>
    <d v="2011-01-02T00:00:00"/>
    <n v="1"/>
    <n v="3"/>
    <b v="0"/>
    <n v="0"/>
    <n v="2"/>
    <x v="7"/>
    <x v="1"/>
    <x v="1"/>
    <s v="Morning"/>
    <n v="0.94"/>
    <n v="2"/>
    <n v="4"/>
    <n v="6"/>
    <n v="0.45450000000000002"/>
    <n v="0.19400000000000001"/>
    <x v="1"/>
  </r>
  <r>
    <n v="29"/>
    <d v="2011-01-02T00:00:00"/>
    <n v="1"/>
    <n v="4"/>
    <b v="0"/>
    <n v="0"/>
    <n v="2"/>
    <x v="7"/>
    <x v="1"/>
    <x v="1"/>
    <s v="Morning"/>
    <n v="0.94"/>
    <n v="2"/>
    <n v="1"/>
    <n v="3"/>
    <n v="0.19993"/>
    <n v="0.19400000000000001"/>
    <x v="1"/>
  </r>
  <r>
    <n v="30"/>
    <d v="2011-01-02T00:00:00"/>
    <n v="1"/>
    <n v="6"/>
    <b v="0"/>
    <n v="0"/>
    <n v="3"/>
    <x v="6"/>
    <x v="1"/>
    <x v="2"/>
    <s v="Morning"/>
    <n v="0.77"/>
    <n v="0"/>
    <n v="2"/>
    <n v="2"/>
    <n v="0.42420000000000002"/>
    <n v="0.29849999999999999"/>
    <x v="1"/>
  </r>
  <r>
    <n v="31"/>
    <d v="2011-01-02T00:00:00"/>
    <n v="1"/>
    <n v="7"/>
    <b v="0"/>
    <n v="0"/>
    <n v="2"/>
    <x v="9"/>
    <x v="1"/>
    <x v="1"/>
    <s v="Morning"/>
    <n v="0.76"/>
    <n v="0"/>
    <n v="1"/>
    <n v="1"/>
    <n v="0.40910000000000002"/>
    <n v="0.19400000000000001"/>
    <x v="1"/>
  </r>
  <r>
    <n v="32"/>
    <d v="2011-01-02T00:00:00"/>
    <n v="1"/>
    <n v="8"/>
    <b v="0"/>
    <n v="0"/>
    <n v="3"/>
    <x v="9"/>
    <x v="1"/>
    <x v="2"/>
    <s v="Morning"/>
    <n v="0.71"/>
    <n v="0"/>
    <n v="8"/>
    <n v="8"/>
    <n v="0.40910000000000002"/>
    <n v="0.22389999999999999"/>
    <x v="1"/>
  </r>
  <r>
    <n v="33"/>
    <d v="2011-01-02T00:00:00"/>
    <n v="1"/>
    <n v="9"/>
    <b v="0"/>
    <n v="0"/>
    <n v="2"/>
    <x v="4"/>
    <x v="1"/>
    <x v="1"/>
    <s v="Morning"/>
    <n v="0.76"/>
    <n v="1"/>
    <n v="19"/>
    <n v="20"/>
    <n v="0.19993"/>
    <n v="0.22389999999999999"/>
    <x v="1"/>
  </r>
  <r>
    <n v="34"/>
    <d v="2011-01-02T00:00:00"/>
    <n v="1"/>
    <n v="10"/>
    <b v="0"/>
    <n v="0"/>
    <n v="2"/>
    <x v="5"/>
    <x v="1"/>
    <x v="1"/>
    <s v="Morning"/>
    <n v="0.81"/>
    <n v="7"/>
    <n v="46"/>
    <n v="53"/>
    <n v="0.34849999999999998"/>
    <n v="0.22389999999999999"/>
    <x v="1"/>
  </r>
  <r>
    <n v="35"/>
    <d v="2011-01-02T00:00:00"/>
    <n v="1"/>
    <n v="11"/>
    <b v="0"/>
    <n v="0"/>
    <n v="2"/>
    <x v="5"/>
    <x v="1"/>
    <x v="1"/>
    <s v="Morning"/>
    <n v="0.71"/>
    <n v="16"/>
    <n v="54"/>
    <n v="70"/>
    <n v="0.33329999999999999"/>
    <n v="0.25369999999999998"/>
    <x v="1"/>
  </r>
  <r>
    <n v="36"/>
    <d v="2011-01-02T00:00:00"/>
    <n v="1"/>
    <n v="12"/>
    <b v="0"/>
    <n v="0"/>
    <n v="2"/>
    <x v="5"/>
    <x v="1"/>
    <x v="1"/>
    <s v="Afternoon"/>
    <n v="0.66"/>
    <n v="20"/>
    <n v="73"/>
    <n v="93"/>
    <n v="0.33329999999999999"/>
    <n v="0.29849999999999999"/>
    <x v="1"/>
  </r>
  <r>
    <n v="37"/>
    <d v="2011-01-02T00:00:00"/>
    <n v="1"/>
    <n v="13"/>
    <b v="0"/>
    <n v="0"/>
    <n v="2"/>
    <x v="5"/>
    <x v="1"/>
    <x v="1"/>
    <s v="Afternoon"/>
    <n v="0.66"/>
    <n v="11"/>
    <n v="64"/>
    <n v="75"/>
    <n v="0.34849999999999998"/>
    <n v="0.1343"/>
    <x v="1"/>
  </r>
  <r>
    <n v="38"/>
    <d v="2011-01-02T00:00:00"/>
    <n v="1"/>
    <n v="14"/>
    <b v="0"/>
    <n v="0"/>
    <n v="3"/>
    <x v="5"/>
    <x v="1"/>
    <x v="2"/>
    <s v="Afternoon"/>
    <n v="0.76"/>
    <n v="4"/>
    <n v="55"/>
    <n v="59"/>
    <n v="0.19993"/>
    <n v="0.19400000000000001"/>
    <x v="1"/>
  </r>
  <r>
    <n v="39"/>
    <d v="2011-01-02T00:00:00"/>
    <n v="1"/>
    <n v="15"/>
    <b v="0"/>
    <n v="0"/>
    <n v="3"/>
    <x v="10"/>
    <x v="1"/>
    <x v="2"/>
    <s v="Afternoon"/>
    <n v="0.81"/>
    <n v="19"/>
    <n v="55"/>
    <n v="74"/>
    <n v="0.33329999999999999"/>
    <n v="0.16420000000000001"/>
    <x v="1"/>
  </r>
  <r>
    <n v="40"/>
    <d v="2011-01-02T00:00:00"/>
    <n v="1"/>
    <n v="16"/>
    <b v="0"/>
    <n v="0"/>
    <n v="3"/>
    <x v="10"/>
    <x v="1"/>
    <x v="2"/>
    <s v="Afternoon"/>
    <n v="0.71"/>
    <n v="9"/>
    <n v="67"/>
    <n v="76"/>
    <n v="0.33329999999999999"/>
    <n v="0.16420000000000001"/>
    <x v="1"/>
  </r>
  <r>
    <n v="41"/>
    <d v="2011-01-02T00:00:00"/>
    <n v="1"/>
    <n v="17"/>
    <b v="0"/>
    <n v="0"/>
    <n v="1"/>
    <x v="10"/>
    <x v="1"/>
    <x v="0"/>
    <s v="Evening"/>
    <n v="0.56999999999999995"/>
    <n v="7"/>
    <n v="58"/>
    <n v="65"/>
    <n v="0.33329999999999999"/>
    <n v="0.19400000000000001"/>
    <x v="1"/>
  </r>
  <r>
    <n v="42"/>
    <d v="2011-01-02T00:00:00"/>
    <n v="1"/>
    <n v="18"/>
    <b v="0"/>
    <n v="0"/>
    <n v="2"/>
    <x v="5"/>
    <x v="1"/>
    <x v="1"/>
    <s v="Evening"/>
    <n v="0.46"/>
    <n v="10"/>
    <n v="43"/>
    <n v="53"/>
    <n v="0.33329999999999999"/>
    <n v="0.32840000000000003"/>
    <x v="1"/>
  </r>
  <r>
    <n v="43"/>
    <d v="2011-01-02T00:00:00"/>
    <n v="1"/>
    <n v="19"/>
    <b v="0"/>
    <n v="0"/>
    <n v="1"/>
    <x v="3"/>
    <x v="1"/>
    <x v="0"/>
    <s v="Evening"/>
    <n v="0.42"/>
    <n v="1"/>
    <n v="29"/>
    <n v="30"/>
    <n v="0.28789999999999999"/>
    <n v="0.44779999999999998"/>
    <x v="1"/>
  </r>
  <r>
    <n v="44"/>
    <d v="2011-01-02T00:00:00"/>
    <n v="1"/>
    <n v="20"/>
    <b v="0"/>
    <n v="0"/>
    <n v="1"/>
    <x v="11"/>
    <x v="1"/>
    <x v="0"/>
    <s v="Evening"/>
    <n v="0.39"/>
    <n v="5"/>
    <n v="17"/>
    <n v="22"/>
    <n v="0.19993"/>
    <n v="0.35820000000000002"/>
    <x v="1"/>
  </r>
  <r>
    <n v="45"/>
    <d v="2011-01-02T00:00:00"/>
    <n v="1"/>
    <n v="21"/>
    <b v="0"/>
    <n v="0"/>
    <n v="1"/>
    <x v="12"/>
    <x v="1"/>
    <x v="0"/>
    <s v="Night"/>
    <n v="0.44"/>
    <n v="11"/>
    <n v="20"/>
    <n v="31"/>
    <n v="0.2273"/>
    <n v="0.32840000000000003"/>
    <x v="1"/>
  </r>
  <r>
    <n v="46"/>
    <d v="2011-01-02T00:00:00"/>
    <n v="1"/>
    <n v="22"/>
    <b v="0"/>
    <n v="0"/>
    <n v="1"/>
    <x v="0"/>
    <x v="1"/>
    <x v="0"/>
    <s v="Night"/>
    <n v="0.44"/>
    <n v="0"/>
    <n v="9"/>
    <n v="9"/>
    <n v="0.21210000000000001"/>
    <n v="0.29849999999999999"/>
    <x v="1"/>
  </r>
  <r>
    <n v="47"/>
    <d v="2011-01-02T00:00:00"/>
    <n v="1"/>
    <n v="23"/>
    <b v="0"/>
    <n v="0"/>
    <n v="1"/>
    <x v="1"/>
    <x v="1"/>
    <x v="0"/>
    <s v="Night"/>
    <n v="0.47"/>
    <n v="0"/>
    <n v="8"/>
    <n v="8"/>
    <n v="0.2273"/>
    <n v="0.16420000000000001"/>
    <x v="1"/>
  </r>
  <r>
    <n v="48"/>
    <d v="2011-01-03T00:00:00"/>
    <n v="1"/>
    <n v="0"/>
    <b v="0"/>
    <n v="1"/>
    <n v="1"/>
    <x v="1"/>
    <x v="1"/>
    <x v="0"/>
    <s v="Morning"/>
    <n v="0.44"/>
    <n v="0"/>
    <n v="5"/>
    <n v="5"/>
    <n v="0.19700000000000001"/>
    <n v="0.35820000000000002"/>
    <x v="2"/>
  </r>
  <r>
    <n v="49"/>
    <d v="2011-01-03T00:00:00"/>
    <n v="1"/>
    <n v="1"/>
    <b v="0"/>
    <n v="1"/>
    <n v="1"/>
    <x v="2"/>
    <x v="1"/>
    <x v="0"/>
    <s v="Morning"/>
    <n v="0.44"/>
    <n v="0"/>
    <n v="2"/>
    <n v="2"/>
    <n v="0.19993"/>
    <n v="0.41789999999999999"/>
    <x v="2"/>
  </r>
  <r>
    <n v="50"/>
    <d v="2011-01-03T00:00:00"/>
    <n v="1"/>
    <n v="4"/>
    <b v="0"/>
    <n v="1"/>
    <n v="1"/>
    <x v="13"/>
    <x v="1"/>
    <x v="0"/>
    <s v="Morning"/>
    <n v="0.47"/>
    <n v="0"/>
    <n v="1"/>
    <n v="1"/>
    <n v="0.13639999999999999"/>
    <n v="0.3881"/>
    <x v="2"/>
  </r>
  <r>
    <n v="51"/>
    <d v="2011-01-03T00:00:00"/>
    <n v="1"/>
    <n v="5"/>
    <b v="0"/>
    <n v="1"/>
    <n v="1"/>
    <x v="13"/>
    <x v="1"/>
    <x v="0"/>
    <s v="Morning"/>
    <n v="0.47"/>
    <n v="0"/>
    <n v="3"/>
    <n v="3"/>
    <n v="0.13639999999999999"/>
    <n v="0.28360000000000002"/>
    <x v="2"/>
  </r>
  <r>
    <n v="52"/>
    <d v="2011-01-03T00:00:00"/>
    <n v="1"/>
    <n v="6"/>
    <b v="0"/>
    <n v="1"/>
    <n v="1"/>
    <x v="14"/>
    <x v="1"/>
    <x v="0"/>
    <s v="Morning"/>
    <n v="0.5"/>
    <n v="0"/>
    <n v="30"/>
    <n v="30"/>
    <n v="0.1061"/>
    <n v="0.3881"/>
    <x v="2"/>
  </r>
  <r>
    <n v="53"/>
    <d v="2011-01-03T00:00:00"/>
    <n v="1"/>
    <n v="7"/>
    <b v="0"/>
    <n v="1"/>
    <n v="1"/>
    <x v="14"/>
    <x v="1"/>
    <x v="0"/>
    <s v="Morning"/>
    <n v="0.5"/>
    <n v="1"/>
    <n v="63"/>
    <n v="64"/>
    <n v="0.13639999999999999"/>
    <n v="0.19400000000000001"/>
    <x v="2"/>
  </r>
  <r>
    <n v="54"/>
    <d v="2011-01-03T00:00:00"/>
    <n v="1"/>
    <n v="8"/>
    <b v="0"/>
    <n v="1"/>
    <n v="1"/>
    <x v="14"/>
    <x v="1"/>
    <x v="0"/>
    <s v="Morning"/>
    <n v="0.5"/>
    <n v="1"/>
    <n v="153"/>
    <n v="154"/>
    <n v="0.1212"/>
    <n v="0.28360000000000002"/>
    <x v="2"/>
  </r>
  <r>
    <n v="55"/>
    <d v="2011-01-03T00:00:00"/>
    <n v="1"/>
    <n v="9"/>
    <b v="0"/>
    <n v="1"/>
    <n v="1"/>
    <x v="13"/>
    <x v="1"/>
    <x v="0"/>
    <s v="Morning"/>
    <n v="0.43"/>
    <n v="7"/>
    <n v="81"/>
    <n v="88"/>
    <n v="0.13639999999999999"/>
    <n v="0.3881"/>
    <x v="2"/>
  </r>
  <r>
    <n v="56"/>
    <d v="2011-01-03T00:00:00"/>
    <n v="1"/>
    <n v="10"/>
    <b v="0"/>
    <n v="1"/>
    <n v="1"/>
    <x v="15"/>
    <x v="1"/>
    <x v="0"/>
    <s v="Morning"/>
    <n v="0.43"/>
    <n v="11"/>
    <n v="33"/>
    <n v="44"/>
    <n v="0.16669999999999999"/>
    <n v="0.25369999999999998"/>
    <x v="2"/>
  </r>
  <r>
    <n v="57"/>
    <d v="2011-01-03T00:00:00"/>
    <n v="1"/>
    <n v="11"/>
    <b v="0"/>
    <n v="1"/>
    <n v="1"/>
    <x v="2"/>
    <x v="1"/>
    <x v="0"/>
    <s v="Morning"/>
    <n v="0.4"/>
    <n v="10"/>
    <n v="41"/>
    <n v="51"/>
    <n v="0.18179999999999999"/>
    <n v="0.32840000000000003"/>
    <x v="2"/>
  </r>
  <r>
    <n v="58"/>
    <d v="2011-01-03T00:00:00"/>
    <n v="1"/>
    <n v="12"/>
    <b v="0"/>
    <n v="1"/>
    <n v="1"/>
    <x v="1"/>
    <x v="1"/>
    <x v="0"/>
    <s v="Afternoon"/>
    <n v="0.35"/>
    <n v="13"/>
    <n v="48"/>
    <n v="61"/>
    <n v="0.21210000000000001"/>
    <n v="0.29849999999999999"/>
    <x v="2"/>
  </r>
  <r>
    <n v="59"/>
    <d v="2011-01-03T00:00:00"/>
    <n v="1"/>
    <n v="13"/>
    <b v="0"/>
    <n v="1"/>
    <n v="1"/>
    <x v="0"/>
    <x v="1"/>
    <x v="0"/>
    <s v="Afternoon"/>
    <n v="0.35"/>
    <n v="8"/>
    <n v="53"/>
    <n v="61"/>
    <n v="0.19993"/>
    <n v="0.28360000000000002"/>
    <x v="2"/>
  </r>
  <r>
    <n v="60"/>
    <d v="2011-01-03T00:00:00"/>
    <n v="1"/>
    <n v="14"/>
    <b v="0"/>
    <n v="1"/>
    <n v="1"/>
    <x v="12"/>
    <x v="1"/>
    <x v="0"/>
    <s v="Afternoon"/>
    <n v="0.3"/>
    <n v="11"/>
    <n v="66"/>
    <n v="77"/>
    <n v="0.2424"/>
    <n v="0.28360000000000002"/>
    <x v="2"/>
  </r>
  <r>
    <n v="61"/>
    <d v="2011-01-03T00:00:00"/>
    <n v="1"/>
    <n v="15"/>
    <b v="0"/>
    <n v="1"/>
    <n v="1"/>
    <x v="12"/>
    <x v="1"/>
    <x v="0"/>
    <s v="Afternoon"/>
    <n v="0.3"/>
    <n v="14"/>
    <n v="58"/>
    <n v="72"/>
    <n v="0.2424"/>
    <n v="0.25369999999999998"/>
    <x v="2"/>
  </r>
  <r>
    <n v="62"/>
    <d v="2011-01-03T00:00:00"/>
    <n v="1"/>
    <n v="16"/>
    <b v="0"/>
    <n v="1"/>
    <n v="1"/>
    <x v="12"/>
    <x v="1"/>
    <x v="0"/>
    <s v="Afternoon"/>
    <n v="0.3"/>
    <n v="9"/>
    <n v="67"/>
    <n v="76"/>
    <n v="0.2424"/>
    <n v="0.25369999999999998"/>
    <x v="2"/>
  </r>
  <r>
    <n v="63"/>
    <d v="2011-01-03T00:00:00"/>
    <n v="1"/>
    <n v="17"/>
    <b v="0"/>
    <n v="1"/>
    <n v="1"/>
    <x v="0"/>
    <x v="1"/>
    <x v="0"/>
    <s v="Evening"/>
    <n v="0.3"/>
    <n v="11"/>
    <n v="146"/>
    <n v="157"/>
    <n v="0.2273"/>
    <n v="0.22389999999999999"/>
    <x v="2"/>
  </r>
  <r>
    <n v="64"/>
    <d v="2011-01-03T00:00:00"/>
    <n v="1"/>
    <n v="18"/>
    <b v="0"/>
    <n v="1"/>
    <n v="1"/>
    <x v="0"/>
    <x v="1"/>
    <x v="0"/>
    <s v="Evening"/>
    <n v="0.32"/>
    <n v="9"/>
    <n v="148"/>
    <n v="157"/>
    <n v="0.2576"/>
    <n v="0.1045"/>
    <x v="2"/>
  </r>
  <r>
    <n v="65"/>
    <d v="2011-01-03T00:00:00"/>
    <n v="1"/>
    <n v="19"/>
    <b v="0"/>
    <n v="1"/>
    <n v="1"/>
    <x v="2"/>
    <x v="1"/>
    <x v="0"/>
    <s v="Evening"/>
    <n v="0.47"/>
    <n v="8"/>
    <n v="102"/>
    <n v="110"/>
    <n v="0.2576"/>
    <n v="0"/>
    <x v="2"/>
  </r>
  <r>
    <n v="66"/>
    <d v="2011-01-03T00:00:00"/>
    <n v="1"/>
    <n v="20"/>
    <b v="0"/>
    <n v="1"/>
    <n v="1"/>
    <x v="2"/>
    <x v="1"/>
    <x v="0"/>
    <s v="Evening"/>
    <n v="0.47"/>
    <n v="3"/>
    <n v="49"/>
    <n v="52"/>
    <n v="0.19993"/>
    <n v="0.1045"/>
    <x v="2"/>
  </r>
  <r>
    <n v="67"/>
    <d v="2011-01-03T00:00:00"/>
    <n v="1"/>
    <n v="21"/>
    <b v="0"/>
    <n v="1"/>
    <n v="1"/>
    <x v="15"/>
    <x v="1"/>
    <x v="0"/>
    <s v="Night"/>
    <n v="0.64"/>
    <n v="3"/>
    <n v="49"/>
    <n v="52"/>
    <n v="0.19700000000000001"/>
    <n v="0.1343"/>
    <x v="2"/>
  </r>
  <r>
    <n v="68"/>
    <d v="2011-01-03T00:00:00"/>
    <n v="1"/>
    <n v="22"/>
    <b v="0"/>
    <n v="1"/>
    <n v="1"/>
    <x v="14"/>
    <x v="1"/>
    <x v="0"/>
    <s v="Night"/>
    <n v="0.69"/>
    <n v="0"/>
    <n v="20"/>
    <n v="20"/>
    <n v="0.1515"/>
    <n v="0.1343"/>
    <x v="2"/>
  </r>
  <r>
    <n v="69"/>
    <d v="2011-01-03T00:00:00"/>
    <n v="1"/>
    <n v="23"/>
    <b v="0"/>
    <n v="1"/>
    <n v="1"/>
    <x v="15"/>
    <x v="1"/>
    <x v="0"/>
    <s v="Night"/>
    <n v="0.55000000000000004"/>
    <n v="1"/>
    <n v="11"/>
    <n v="12"/>
    <n v="0.21210000000000001"/>
    <n v="0.1045"/>
    <x v="2"/>
  </r>
  <r>
    <n v="70"/>
    <d v="2011-01-04T00:00:00"/>
    <n v="1"/>
    <n v="0"/>
    <b v="0"/>
    <n v="2"/>
    <n v="1"/>
    <x v="13"/>
    <x v="1"/>
    <x v="0"/>
    <s v="Morning"/>
    <n v="0.55000000000000004"/>
    <n v="0"/>
    <n v="5"/>
    <n v="5"/>
    <n v="0.19993"/>
    <n v="0.1045"/>
    <x v="3"/>
  </r>
  <r>
    <n v="71"/>
    <d v="2011-01-04T00:00:00"/>
    <n v="1"/>
    <n v="1"/>
    <b v="0"/>
    <n v="2"/>
    <n v="1"/>
    <x v="13"/>
    <x v="1"/>
    <x v="0"/>
    <s v="Morning"/>
    <n v="0.59"/>
    <n v="0"/>
    <n v="2"/>
    <n v="2"/>
    <n v="0.18179999999999999"/>
    <n v="0.1045"/>
    <x v="3"/>
  </r>
  <r>
    <n v="72"/>
    <d v="2011-01-04T00:00:00"/>
    <n v="1"/>
    <n v="2"/>
    <b v="0"/>
    <n v="2"/>
    <n v="1"/>
    <x v="14"/>
    <x v="1"/>
    <x v="0"/>
    <s v="Morning"/>
    <n v="0.63"/>
    <n v="0"/>
    <n v="1"/>
    <n v="1"/>
    <n v="0.1515"/>
    <n v="0.1343"/>
    <x v="3"/>
  </r>
  <r>
    <n v="73"/>
    <d v="2011-01-04T00:00:00"/>
    <n v="1"/>
    <n v="4"/>
    <b v="0"/>
    <n v="2"/>
    <n v="1"/>
    <x v="14"/>
    <x v="1"/>
    <x v="0"/>
    <s v="Morning"/>
    <n v="0.63"/>
    <n v="0"/>
    <n v="2"/>
    <n v="2"/>
    <n v="0.18179999999999999"/>
    <n v="8.9599999999999999E-2"/>
    <x v="3"/>
  </r>
  <r>
    <n v="74"/>
    <d v="2011-01-04T00:00:00"/>
    <n v="1"/>
    <n v="5"/>
    <b v="0"/>
    <n v="2"/>
    <n v="1"/>
    <x v="16"/>
    <x v="1"/>
    <x v="0"/>
    <s v="Morning"/>
    <n v="0.68"/>
    <n v="0"/>
    <n v="4"/>
    <n v="4"/>
    <n v="0.1515"/>
    <n v="0.1045"/>
    <x v="3"/>
  </r>
  <r>
    <n v="75"/>
    <d v="2011-01-04T00:00:00"/>
    <n v="1"/>
    <n v="6"/>
    <b v="0"/>
    <n v="2"/>
    <n v="1"/>
    <x v="16"/>
    <x v="1"/>
    <x v="0"/>
    <s v="Morning"/>
    <n v="0.74"/>
    <n v="0"/>
    <n v="36"/>
    <n v="36"/>
    <n v="0.1515"/>
    <n v="0.1045"/>
    <x v="3"/>
  </r>
  <r>
    <n v="76"/>
    <d v="2011-01-04T00:00:00"/>
    <n v="1"/>
    <n v="7"/>
    <b v="0"/>
    <n v="2"/>
    <n v="1"/>
    <x v="16"/>
    <x v="1"/>
    <x v="0"/>
    <s v="Morning"/>
    <n v="0.74"/>
    <n v="2"/>
    <n v="92"/>
    <n v="94"/>
    <n v="0.1515"/>
    <n v="0.1343"/>
    <x v="3"/>
  </r>
  <r>
    <n v="77"/>
    <d v="2011-01-04T00:00:00"/>
    <n v="1"/>
    <n v="8"/>
    <b v="0"/>
    <n v="2"/>
    <n v="1"/>
    <x v="14"/>
    <x v="1"/>
    <x v="0"/>
    <s v="Morning"/>
    <n v="0.69"/>
    <n v="2"/>
    <n v="177"/>
    <n v="179"/>
    <n v="0.1515"/>
    <n v="0.16420000000000001"/>
    <x v="3"/>
  </r>
  <r>
    <n v="78"/>
    <d v="2011-01-04T00:00:00"/>
    <n v="1"/>
    <n v="9"/>
    <b v="0"/>
    <n v="2"/>
    <n v="1"/>
    <x v="13"/>
    <x v="1"/>
    <x v="0"/>
    <s v="Morning"/>
    <n v="0.64"/>
    <n v="2"/>
    <n v="98"/>
    <n v="100"/>
    <n v="0.1515"/>
    <n v="0.22389999999999999"/>
    <x v="3"/>
  </r>
  <r>
    <n v="79"/>
    <d v="2011-01-04T00:00:00"/>
    <n v="1"/>
    <n v="10"/>
    <b v="0"/>
    <n v="2"/>
    <n v="2"/>
    <x v="13"/>
    <x v="1"/>
    <x v="1"/>
    <s v="Morning"/>
    <n v="0.69"/>
    <n v="5"/>
    <n v="37"/>
    <n v="42"/>
    <n v="0.13639999999999999"/>
    <n v="0.32840000000000003"/>
    <x v="3"/>
  </r>
  <r>
    <n v="80"/>
    <d v="2011-01-04T00:00:00"/>
    <n v="1"/>
    <n v="11"/>
    <b v="0"/>
    <n v="2"/>
    <n v="1"/>
    <x v="1"/>
    <x v="1"/>
    <x v="0"/>
    <s v="Morning"/>
    <n v="0.51"/>
    <n v="7"/>
    <n v="50"/>
    <n v="57"/>
    <n v="0.21210000000000001"/>
    <n v="0.29849999999999999"/>
    <x v="3"/>
  </r>
  <r>
    <n v="81"/>
    <d v="2011-01-04T00:00:00"/>
    <n v="1"/>
    <n v="12"/>
    <b v="0"/>
    <n v="2"/>
    <n v="1"/>
    <x v="1"/>
    <x v="1"/>
    <x v="0"/>
    <s v="Afternoon"/>
    <n v="0.51"/>
    <n v="12"/>
    <n v="66"/>
    <n v="78"/>
    <n v="0.2273"/>
    <n v="0.16420000000000001"/>
    <x v="3"/>
  </r>
  <r>
    <n v="82"/>
    <d v="2011-01-04T00:00:00"/>
    <n v="1"/>
    <n v="13"/>
    <b v="0"/>
    <n v="2"/>
    <n v="1"/>
    <x v="0"/>
    <x v="1"/>
    <x v="0"/>
    <s v="Afternoon"/>
    <n v="0.56000000000000005"/>
    <n v="18"/>
    <n v="79"/>
    <n v="97"/>
    <n v="0.2273"/>
    <n v="0.19400000000000001"/>
    <x v="3"/>
  </r>
  <r>
    <n v="83"/>
    <d v="2011-01-04T00:00:00"/>
    <n v="1"/>
    <n v="14"/>
    <b v="0"/>
    <n v="2"/>
    <n v="1"/>
    <x v="12"/>
    <x v="1"/>
    <x v="0"/>
    <s v="Afternoon"/>
    <n v="0.52"/>
    <n v="9"/>
    <n v="54"/>
    <n v="63"/>
    <n v="0.2576"/>
    <n v="0.22389999999999999"/>
    <x v="3"/>
  </r>
  <r>
    <n v="84"/>
    <d v="2011-01-04T00:00:00"/>
    <n v="1"/>
    <n v="15"/>
    <b v="0"/>
    <n v="2"/>
    <n v="1"/>
    <x v="17"/>
    <x v="1"/>
    <x v="0"/>
    <s v="Afternoon"/>
    <n v="0.52"/>
    <n v="17"/>
    <n v="48"/>
    <n v="65"/>
    <n v="0.2727"/>
    <n v="0.25369999999999998"/>
    <x v="3"/>
  </r>
  <r>
    <n v="85"/>
    <d v="2011-01-04T00:00:00"/>
    <n v="1"/>
    <n v="16"/>
    <b v="0"/>
    <n v="2"/>
    <n v="1"/>
    <x v="11"/>
    <x v="1"/>
    <x v="0"/>
    <s v="Afternoon"/>
    <n v="0.49"/>
    <n v="15"/>
    <n v="68"/>
    <n v="83"/>
    <n v="0.28789999999999999"/>
    <n v="0.25369999999999998"/>
    <x v="3"/>
  </r>
  <r>
    <n v="86"/>
    <d v="2011-01-04T00:00:00"/>
    <n v="1"/>
    <n v="17"/>
    <b v="0"/>
    <n v="2"/>
    <n v="1"/>
    <x v="17"/>
    <x v="1"/>
    <x v="0"/>
    <s v="Evening"/>
    <n v="0.48"/>
    <n v="10"/>
    <n v="202"/>
    <n v="212"/>
    <n v="0.2727"/>
    <n v="0.22389999999999999"/>
    <x v="3"/>
  </r>
  <r>
    <n v="87"/>
    <d v="2011-01-04T00:00:00"/>
    <n v="1"/>
    <n v="18"/>
    <b v="0"/>
    <n v="2"/>
    <n v="1"/>
    <x v="12"/>
    <x v="1"/>
    <x v="0"/>
    <s v="Evening"/>
    <n v="0.48"/>
    <n v="3"/>
    <n v="179"/>
    <n v="182"/>
    <n v="0.2576"/>
    <n v="0.19400000000000001"/>
    <x v="3"/>
  </r>
  <r>
    <n v="88"/>
    <d v="2011-01-04T00:00:00"/>
    <n v="1"/>
    <n v="19"/>
    <b v="0"/>
    <n v="2"/>
    <n v="1"/>
    <x v="0"/>
    <x v="1"/>
    <x v="0"/>
    <s v="Evening"/>
    <n v="0.48"/>
    <n v="2"/>
    <n v="110"/>
    <n v="112"/>
    <n v="0.2576"/>
    <n v="0.1045"/>
    <x v="3"/>
  </r>
  <r>
    <n v="89"/>
    <d v="2011-01-04T00:00:00"/>
    <n v="1"/>
    <n v="20"/>
    <b v="0"/>
    <n v="2"/>
    <n v="1"/>
    <x v="0"/>
    <x v="1"/>
    <x v="0"/>
    <s v="Evening"/>
    <n v="0.48"/>
    <n v="1"/>
    <n v="53"/>
    <n v="54"/>
    <n v="0.2576"/>
    <n v="0.1045"/>
    <x v="3"/>
  </r>
  <r>
    <n v="90"/>
    <d v="2011-01-04T00:00:00"/>
    <n v="1"/>
    <n v="21"/>
    <b v="0"/>
    <n v="2"/>
    <n v="1"/>
    <x v="1"/>
    <x v="1"/>
    <x v="0"/>
    <s v="Night"/>
    <n v="0.64"/>
    <n v="0"/>
    <n v="48"/>
    <n v="48"/>
    <n v="0.2727"/>
    <n v="0"/>
    <x v="3"/>
  </r>
  <r>
    <n v="91"/>
    <d v="2011-01-04T00:00:00"/>
    <n v="1"/>
    <n v="22"/>
    <b v="0"/>
    <n v="2"/>
    <n v="1"/>
    <x v="1"/>
    <x v="1"/>
    <x v="0"/>
    <s v="Night"/>
    <n v="0.64"/>
    <n v="1"/>
    <n v="34"/>
    <n v="35"/>
    <n v="0.2576"/>
    <n v="8.9599999999999999E-2"/>
    <x v="3"/>
  </r>
  <r>
    <n v="92"/>
    <d v="2011-01-04T00:00:00"/>
    <n v="1"/>
    <n v="23"/>
    <b v="0"/>
    <n v="2"/>
    <n v="1"/>
    <x v="2"/>
    <x v="1"/>
    <x v="0"/>
    <s v="Night"/>
    <n v="0.69"/>
    <n v="2"/>
    <n v="9"/>
    <n v="11"/>
    <n v="0.2273"/>
    <n v="8.9599999999999999E-2"/>
    <x v="3"/>
  </r>
  <r>
    <n v="93"/>
    <d v="2011-01-05T00:00:00"/>
    <n v="1"/>
    <n v="0"/>
    <b v="0"/>
    <n v="3"/>
    <n v="1"/>
    <x v="2"/>
    <x v="1"/>
    <x v="0"/>
    <s v="Morning"/>
    <n v="0.64"/>
    <n v="0"/>
    <n v="6"/>
    <n v="6"/>
    <n v="0.2576"/>
    <n v="0"/>
    <x v="4"/>
  </r>
  <r>
    <n v="94"/>
    <d v="2011-01-05T00:00:00"/>
    <n v="1"/>
    <n v="1"/>
    <b v="0"/>
    <n v="3"/>
    <n v="1"/>
    <x v="13"/>
    <x v="1"/>
    <x v="0"/>
    <s v="Morning"/>
    <n v="0.74"/>
    <n v="0"/>
    <n v="6"/>
    <n v="6"/>
    <n v="0.19700000000000001"/>
    <n v="8.9599999999999999E-2"/>
    <x v="4"/>
  </r>
  <r>
    <n v="95"/>
    <d v="2011-01-05T00:00:00"/>
    <n v="1"/>
    <n v="2"/>
    <b v="0"/>
    <n v="3"/>
    <n v="1"/>
    <x v="13"/>
    <x v="1"/>
    <x v="0"/>
    <s v="Morning"/>
    <n v="0.74"/>
    <n v="0"/>
    <n v="2"/>
    <n v="2"/>
    <n v="0.19700000000000001"/>
    <n v="8.9599999999999999E-2"/>
    <x v="4"/>
  </r>
  <r>
    <n v="96"/>
    <d v="2011-01-05T00:00:00"/>
    <n v="1"/>
    <n v="4"/>
    <b v="0"/>
    <n v="3"/>
    <n v="1"/>
    <x v="0"/>
    <x v="1"/>
    <x v="0"/>
    <s v="Morning"/>
    <n v="0.48"/>
    <n v="0"/>
    <n v="2"/>
    <n v="2"/>
    <n v="0.2273"/>
    <n v="0.22389999999999999"/>
    <x v="4"/>
  </r>
  <r>
    <n v="97"/>
    <d v="2011-01-05T00:00:00"/>
    <n v="1"/>
    <n v="5"/>
    <b v="0"/>
    <n v="3"/>
    <n v="1"/>
    <x v="1"/>
    <x v="1"/>
    <x v="0"/>
    <s v="Morning"/>
    <n v="0.47"/>
    <n v="0"/>
    <n v="3"/>
    <n v="3"/>
    <n v="0.2273"/>
    <n v="0.16420000000000001"/>
    <x v="4"/>
  </r>
  <r>
    <n v="98"/>
    <d v="2011-01-05T00:00:00"/>
    <n v="1"/>
    <n v="6"/>
    <b v="0"/>
    <n v="3"/>
    <n v="1"/>
    <x v="2"/>
    <x v="1"/>
    <x v="0"/>
    <s v="Morning"/>
    <n v="0.47"/>
    <n v="0"/>
    <n v="33"/>
    <n v="33"/>
    <n v="0.19700000000000001"/>
    <n v="0.22389999999999999"/>
    <x v="4"/>
  </r>
  <r>
    <n v="99"/>
    <d v="2011-01-05T00:00:00"/>
    <n v="1"/>
    <n v="7"/>
    <b v="0"/>
    <n v="3"/>
    <n v="1"/>
    <x v="15"/>
    <x v="1"/>
    <x v="0"/>
    <s v="Morning"/>
    <n v="0.43"/>
    <n v="1"/>
    <n v="87"/>
    <n v="88"/>
    <n v="0.18179999999999999"/>
    <n v="0.19400000000000001"/>
    <x v="4"/>
  </r>
  <r>
    <n v="100"/>
    <d v="2011-01-05T00:00:00"/>
    <n v="1"/>
    <n v="8"/>
    <b v="0"/>
    <n v="3"/>
    <n v="1"/>
    <x v="2"/>
    <x v="1"/>
    <x v="0"/>
    <s v="Morning"/>
    <n v="0.4"/>
    <n v="3"/>
    <n v="192"/>
    <n v="195"/>
    <n v="0.18179999999999999"/>
    <n v="0.29849999999999999"/>
    <x v="4"/>
  </r>
  <r>
    <n v="101"/>
    <d v="2011-01-05T00:00:00"/>
    <n v="1"/>
    <n v="9"/>
    <b v="0"/>
    <n v="3"/>
    <n v="1"/>
    <x v="1"/>
    <x v="1"/>
    <x v="0"/>
    <s v="Morning"/>
    <n v="0.37"/>
    <n v="6"/>
    <n v="109"/>
    <n v="115"/>
    <n v="0.19700000000000001"/>
    <n v="0.32840000000000003"/>
    <x v="4"/>
  </r>
  <r>
    <n v="102"/>
    <d v="2011-01-05T00:00:00"/>
    <n v="1"/>
    <n v="10"/>
    <b v="0"/>
    <n v="3"/>
    <n v="1"/>
    <x v="1"/>
    <x v="1"/>
    <x v="0"/>
    <s v="Morning"/>
    <n v="0.37"/>
    <n v="4"/>
    <n v="53"/>
    <n v="57"/>
    <n v="0.19700000000000001"/>
    <n v="0.32840000000000003"/>
    <x v="4"/>
  </r>
  <r>
    <n v="103"/>
    <d v="2011-01-05T00:00:00"/>
    <n v="1"/>
    <n v="11"/>
    <b v="0"/>
    <n v="3"/>
    <n v="1"/>
    <x v="12"/>
    <x v="1"/>
    <x v="0"/>
    <s v="Morning"/>
    <n v="0.33"/>
    <n v="12"/>
    <n v="34"/>
    <n v="46"/>
    <n v="0.2273"/>
    <n v="0.32840000000000003"/>
    <x v="4"/>
  </r>
  <r>
    <n v="104"/>
    <d v="2011-01-05T00:00:00"/>
    <n v="1"/>
    <n v="12"/>
    <b v="0"/>
    <n v="3"/>
    <n v="1"/>
    <x v="12"/>
    <x v="1"/>
    <x v="0"/>
    <s v="Afternoon"/>
    <n v="0.33"/>
    <n v="5"/>
    <n v="74"/>
    <n v="79"/>
    <n v="0.2273"/>
    <n v="0.32840000000000003"/>
    <x v="4"/>
  </r>
  <r>
    <n v="105"/>
    <d v="2011-01-05T00:00:00"/>
    <n v="1"/>
    <n v="13"/>
    <b v="0"/>
    <n v="3"/>
    <n v="1"/>
    <x v="17"/>
    <x v="1"/>
    <x v="0"/>
    <s v="Afternoon"/>
    <n v="0.3"/>
    <n v="6"/>
    <n v="65"/>
    <n v="71"/>
    <n v="0.2576"/>
    <n v="0.29849999999999999"/>
    <x v="4"/>
  </r>
  <r>
    <n v="106"/>
    <d v="2011-01-05T00:00:00"/>
    <n v="1"/>
    <n v="14"/>
    <b v="0"/>
    <n v="3"/>
    <n v="1"/>
    <x v="11"/>
    <x v="1"/>
    <x v="0"/>
    <s v="Afternoon"/>
    <n v="0.28000000000000003"/>
    <n v="10"/>
    <n v="52"/>
    <n v="62"/>
    <n v="0.28789999999999999"/>
    <n v="0.19400000000000001"/>
    <x v="4"/>
  </r>
  <r>
    <n v="107"/>
    <d v="2011-01-05T00:00:00"/>
    <n v="1"/>
    <n v="15"/>
    <b v="0"/>
    <n v="3"/>
    <n v="1"/>
    <x v="11"/>
    <x v="1"/>
    <x v="0"/>
    <s v="Afternoon"/>
    <n v="0.28000000000000003"/>
    <n v="7"/>
    <n v="55"/>
    <n v="62"/>
    <n v="0.28789999999999999"/>
    <n v="0.19400000000000001"/>
    <x v="4"/>
  </r>
  <r>
    <n v="108"/>
    <d v="2011-01-05T00:00:00"/>
    <n v="1"/>
    <n v="16"/>
    <b v="0"/>
    <n v="3"/>
    <n v="1"/>
    <x v="11"/>
    <x v="1"/>
    <x v="0"/>
    <s v="Afternoon"/>
    <n v="0.28000000000000003"/>
    <n v="4"/>
    <n v="85"/>
    <n v="89"/>
    <n v="0.31819999999999998"/>
    <n v="8.9599999999999999E-2"/>
    <x v="4"/>
  </r>
  <r>
    <n v="109"/>
    <d v="2011-01-05T00:00:00"/>
    <n v="1"/>
    <n v="17"/>
    <b v="0"/>
    <n v="3"/>
    <n v="1"/>
    <x v="0"/>
    <x v="1"/>
    <x v="0"/>
    <s v="Evening"/>
    <n v="0.38"/>
    <n v="4"/>
    <n v="186"/>
    <n v="190"/>
    <n v="0.2273"/>
    <n v="0.19400000000000001"/>
    <x v="4"/>
  </r>
  <r>
    <n v="110"/>
    <d v="2011-01-05T00:00:00"/>
    <n v="1"/>
    <n v="18"/>
    <b v="0"/>
    <n v="3"/>
    <n v="1"/>
    <x v="0"/>
    <x v="1"/>
    <x v="0"/>
    <s v="Evening"/>
    <n v="0.38"/>
    <n v="3"/>
    <n v="166"/>
    <n v="169"/>
    <n v="0.2424"/>
    <n v="0.1343"/>
    <x v="4"/>
  </r>
  <r>
    <n v="111"/>
    <d v="2011-01-05T00:00:00"/>
    <n v="1"/>
    <n v="19"/>
    <b v="0"/>
    <n v="3"/>
    <n v="1"/>
    <x v="0"/>
    <x v="1"/>
    <x v="0"/>
    <s v="Evening"/>
    <n v="0.38"/>
    <n v="5"/>
    <n v="127"/>
    <n v="132"/>
    <n v="0.2576"/>
    <n v="0.1045"/>
    <x v="4"/>
  </r>
  <r>
    <n v="112"/>
    <d v="2011-01-05T00:00:00"/>
    <n v="1"/>
    <n v="20"/>
    <b v="0"/>
    <n v="3"/>
    <n v="1"/>
    <x v="1"/>
    <x v="1"/>
    <x v="0"/>
    <s v="Evening"/>
    <n v="0.47"/>
    <n v="7"/>
    <n v="82"/>
    <n v="89"/>
    <n v="0.2273"/>
    <n v="0.16420000000000001"/>
    <x v="4"/>
  </r>
  <r>
    <n v="113"/>
    <d v="2011-01-05T00:00:00"/>
    <n v="1"/>
    <n v="21"/>
    <b v="0"/>
    <n v="3"/>
    <n v="1"/>
    <x v="2"/>
    <x v="1"/>
    <x v="0"/>
    <s v="Night"/>
    <n v="0.51"/>
    <n v="3"/>
    <n v="40"/>
    <n v="43"/>
    <n v="0.19700000000000001"/>
    <n v="0.19400000000000001"/>
    <x v="4"/>
  </r>
  <r>
    <n v="114"/>
    <d v="2011-01-05T00:00:00"/>
    <n v="1"/>
    <n v="22"/>
    <b v="0"/>
    <n v="3"/>
    <n v="1"/>
    <x v="15"/>
    <x v="1"/>
    <x v="0"/>
    <s v="Night"/>
    <n v="0.55000000000000004"/>
    <n v="1"/>
    <n v="41"/>
    <n v="42"/>
    <n v="0.19700000000000001"/>
    <n v="0.1343"/>
    <x v="4"/>
  </r>
  <r>
    <n v="115"/>
    <d v="2011-01-05T00:00:00"/>
    <n v="1"/>
    <n v="23"/>
    <b v="0"/>
    <n v="3"/>
    <n v="1"/>
    <x v="2"/>
    <x v="1"/>
    <x v="0"/>
    <s v="Night"/>
    <n v="0.47"/>
    <n v="1"/>
    <n v="18"/>
    <n v="19"/>
    <n v="0.2576"/>
    <n v="0"/>
    <x v="4"/>
  </r>
  <r>
    <n v="116"/>
    <d v="2011-01-06T00:00:00"/>
    <n v="1"/>
    <n v="0"/>
    <b v="0"/>
    <n v="4"/>
    <n v="1"/>
    <x v="15"/>
    <x v="1"/>
    <x v="0"/>
    <s v="Morning"/>
    <n v="0.55000000000000004"/>
    <n v="0"/>
    <n v="11"/>
    <n v="11"/>
    <n v="0.2424"/>
    <n v="0"/>
    <x v="5"/>
  </r>
  <r>
    <n v="117"/>
    <d v="2011-01-06T00:00:00"/>
    <n v="1"/>
    <n v="1"/>
    <b v="0"/>
    <n v="4"/>
    <n v="1"/>
    <x v="13"/>
    <x v="1"/>
    <x v="0"/>
    <s v="Morning"/>
    <n v="0.64"/>
    <n v="0"/>
    <n v="4"/>
    <n v="4"/>
    <n v="0.2273"/>
    <n v="0"/>
    <x v="5"/>
  </r>
  <r>
    <n v="118"/>
    <d v="2011-01-06T00:00:00"/>
    <n v="1"/>
    <n v="2"/>
    <b v="0"/>
    <n v="4"/>
    <n v="1"/>
    <x v="13"/>
    <x v="1"/>
    <x v="0"/>
    <s v="Morning"/>
    <n v="0.64"/>
    <n v="0"/>
    <n v="2"/>
    <n v="2"/>
    <n v="0.2273"/>
    <n v="0"/>
    <x v="5"/>
  </r>
  <r>
    <n v="119"/>
    <d v="2011-01-06T00:00:00"/>
    <n v="1"/>
    <n v="4"/>
    <b v="0"/>
    <n v="4"/>
    <n v="2"/>
    <x v="13"/>
    <x v="1"/>
    <x v="1"/>
    <s v="Morning"/>
    <n v="0.64"/>
    <n v="0"/>
    <n v="1"/>
    <n v="1"/>
    <n v="0.19700000000000001"/>
    <n v="8.9599999999999999E-2"/>
    <x v="5"/>
  </r>
  <r>
    <n v="120"/>
    <d v="2011-01-06T00:00:00"/>
    <n v="1"/>
    <n v="5"/>
    <b v="0"/>
    <n v="4"/>
    <n v="2"/>
    <x v="14"/>
    <x v="1"/>
    <x v="1"/>
    <s v="Morning"/>
    <n v="0.69"/>
    <n v="0"/>
    <n v="4"/>
    <n v="4"/>
    <n v="0.18179999999999999"/>
    <n v="8.9599999999999999E-2"/>
    <x v="5"/>
  </r>
  <r>
    <n v="121"/>
    <d v="2011-01-06T00:00:00"/>
    <n v="1"/>
    <n v="6"/>
    <b v="0"/>
    <n v="4"/>
    <n v="2"/>
    <x v="14"/>
    <x v="1"/>
    <x v="1"/>
    <s v="Morning"/>
    <n v="0.63"/>
    <n v="0"/>
    <n v="36"/>
    <n v="36"/>
    <n v="0.16669999999999999"/>
    <n v="0.1045"/>
    <x v="5"/>
  </r>
  <r>
    <n v="122"/>
    <d v="2011-01-06T00:00:00"/>
    <n v="1"/>
    <n v="7"/>
    <b v="0"/>
    <n v="4"/>
    <n v="2"/>
    <x v="13"/>
    <x v="1"/>
    <x v="1"/>
    <s v="Morning"/>
    <n v="0.59"/>
    <n v="0"/>
    <n v="95"/>
    <n v="95"/>
    <n v="0.2273"/>
    <n v="0"/>
    <x v="5"/>
  </r>
  <r>
    <n v="123"/>
    <d v="2011-01-06T00:00:00"/>
    <n v="1"/>
    <n v="8"/>
    <b v="0"/>
    <n v="4"/>
    <n v="1"/>
    <x v="13"/>
    <x v="1"/>
    <x v="0"/>
    <s v="Morning"/>
    <n v="0.59"/>
    <n v="3"/>
    <n v="216"/>
    <n v="219"/>
    <n v="0.2273"/>
    <n v="0"/>
    <x v="5"/>
  </r>
  <r>
    <n v="124"/>
    <d v="2011-01-06T00:00:00"/>
    <n v="1"/>
    <n v="9"/>
    <b v="0"/>
    <n v="4"/>
    <n v="2"/>
    <x v="15"/>
    <x v="1"/>
    <x v="1"/>
    <s v="Morning"/>
    <n v="0.51"/>
    <n v="6"/>
    <n v="116"/>
    <n v="122"/>
    <n v="0.2424"/>
    <n v="0"/>
    <x v="5"/>
  </r>
  <r>
    <n v="125"/>
    <d v="2011-01-06T00:00:00"/>
    <n v="1"/>
    <n v="10"/>
    <b v="0"/>
    <n v="4"/>
    <n v="1"/>
    <x v="2"/>
    <x v="1"/>
    <x v="0"/>
    <s v="Morning"/>
    <n v="0.47"/>
    <n v="3"/>
    <n v="42"/>
    <n v="45"/>
    <n v="0.2576"/>
    <n v="0"/>
    <x v="5"/>
  </r>
  <r>
    <n v="126"/>
    <d v="2011-01-06T00:00:00"/>
    <n v="1"/>
    <n v="11"/>
    <b v="0"/>
    <n v="4"/>
    <n v="1"/>
    <x v="1"/>
    <x v="1"/>
    <x v="0"/>
    <s v="Morning"/>
    <n v="0.44"/>
    <n v="2"/>
    <n v="57"/>
    <n v="59"/>
    <n v="0.2576"/>
    <n v="8.9599999999999999E-2"/>
    <x v="5"/>
  </r>
  <r>
    <n v="127"/>
    <d v="2011-01-06T00:00:00"/>
    <n v="1"/>
    <n v="12"/>
    <b v="0"/>
    <n v="4"/>
    <n v="1"/>
    <x v="12"/>
    <x v="1"/>
    <x v="0"/>
    <s v="Afternoon"/>
    <n v="0.35"/>
    <n v="6"/>
    <n v="78"/>
    <n v="84"/>
    <n v="0.28789999999999999"/>
    <n v="0"/>
    <x v="5"/>
  </r>
  <r>
    <n v="128"/>
    <d v="2011-01-06T00:00:00"/>
    <n v="1"/>
    <n v="13"/>
    <b v="0"/>
    <n v="4"/>
    <n v="1"/>
    <x v="12"/>
    <x v="1"/>
    <x v="0"/>
    <s v="Afternoon"/>
    <n v="0.35"/>
    <n v="12"/>
    <n v="55"/>
    <n v="67"/>
    <n v="0.2727"/>
    <n v="0.1045"/>
    <x v="5"/>
  </r>
  <r>
    <n v="129"/>
    <d v="2011-01-06T00:00:00"/>
    <n v="1"/>
    <n v="14"/>
    <b v="0"/>
    <n v="4"/>
    <n v="1"/>
    <x v="17"/>
    <x v="1"/>
    <x v="0"/>
    <s v="Afternoon"/>
    <n v="0.36"/>
    <n v="11"/>
    <n v="59"/>
    <n v="70"/>
    <n v="0.2727"/>
    <n v="0.16420000000000001"/>
    <x v="5"/>
  </r>
  <r>
    <n v="130"/>
    <d v="2011-01-06T00:00:00"/>
    <n v="1"/>
    <n v="15"/>
    <b v="0"/>
    <n v="4"/>
    <n v="1"/>
    <x v="17"/>
    <x v="1"/>
    <x v="0"/>
    <s v="Afternoon"/>
    <n v="0.36"/>
    <n v="8"/>
    <n v="54"/>
    <n v="62"/>
    <n v="0.2727"/>
    <n v="0"/>
    <x v="5"/>
  </r>
  <r>
    <n v="131"/>
    <d v="2011-01-06T00:00:00"/>
    <n v="1"/>
    <n v="16"/>
    <b v="0"/>
    <n v="4"/>
    <n v="1"/>
    <x v="12"/>
    <x v="1"/>
    <x v="0"/>
    <s v="Afternoon"/>
    <n v="0.38"/>
    <n v="12"/>
    <n v="74"/>
    <n v="86"/>
    <n v="0.2576"/>
    <n v="0.16420000000000001"/>
    <x v="5"/>
  </r>
  <r>
    <n v="132"/>
    <d v="2011-01-06T00:00:00"/>
    <n v="1"/>
    <n v="17"/>
    <b v="0"/>
    <n v="4"/>
    <n v="1"/>
    <x v="1"/>
    <x v="1"/>
    <x v="0"/>
    <s v="Evening"/>
    <n v="0.51"/>
    <n v="9"/>
    <n v="163"/>
    <n v="172"/>
    <n v="0.2273"/>
    <n v="0.16420000000000001"/>
    <x v="5"/>
  </r>
  <r>
    <n v="133"/>
    <d v="2011-01-06T00:00:00"/>
    <n v="1"/>
    <n v="18"/>
    <b v="0"/>
    <n v="4"/>
    <n v="1"/>
    <x v="1"/>
    <x v="1"/>
    <x v="0"/>
    <s v="Evening"/>
    <n v="0.51"/>
    <n v="5"/>
    <n v="158"/>
    <n v="163"/>
    <n v="0.2273"/>
    <n v="0.1343"/>
    <x v="5"/>
  </r>
  <r>
    <n v="134"/>
    <d v="2011-01-06T00:00:00"/>
    <n v="1"/>
    <n v="19"/>
    <b v="0"/>
    <n v="4"/>
    <n v="1"/>
    <x v="1"/>
    <x v="1"/>
    <x v="0"/>
    <s v="Evening"/>
    <n v="0.55000000000000004"/>
    <n v="3"/>
    <n v="109"/>
    <n v="112"/>
    <n v="0.2576"/>
    <n v="8.9599999999999999E-2"/>
    <x v="5"/>
  </r>
  <r>
    <n v="135"/>
    <d v="2011-01-06T00:00:00"/>
    <n v="1"/>
    <n v="20"/>
    <b v="0"/>
    <n v="4"/>
    <n v="1"/>
    <x v="2"/>
    <x v="1"/>
    <x v="0"/>
    <s v="Evening"/>
    <n v="0.51"/>
    <n v="3"/>
    <n v="66"/>
    <n v="69"/>
    <n v="0.21210000000000001"/>
    <n v="0.16420000000000001"/>
    <x v="5"/>
  </r>
  <r>
    <n v="136"/>
    <d v="2011-01-06T00:00:00"/>
    <n v="1"/>
    <n v="21"/>
    <b v="0"/>
    <n v="4"/>
    <n v="2"/>
    <x v="1"/>
    <x v="1"/>
    <x v="1"/>
    <s v="Night"/>
    <n v="0.55000000000000004"/>
    <n v="0"/>
    <n v="48"/>
    <n v="48"/>
    <n v="0.21210000000000001"/>
    <n v="0.22389999999999999"/>
    <x v="5"/>
  </r>
  <r>
    <n v="137"/>
    <d v="2011-01-06T00:00:00"/>
    <n v="1"/>
    <n v="22"/>
    <b v="0"/>
    <n v="4"/>
    <n v="2"/>
    <x v="1"/>
    <x v="1"/>
    <x v="1"/>
    <s v="Night"/>
    <n v="0.51"/>
    <n v="1"/>
    <n v="51"/>
    <n v="52"/>
    <n v="0.21210000000000001"/>
    <n v="0.28360000000000002"/>
    <x v="5"/>
  </r>
  <r>
    <n v="138"/>
    <d v="2011-01-06T00:00:00"/>
    <n v="1"/>
    <n v="23"/>
    <b v="0"/>
    <n v="4"/>
    <n v="2"/>
    <x v="2"/>
    <x v="1"/>
    <x v="1"/>
    <s v="Night"/>
    <n v="0.59"/>
    <n v="4"/>
    <n v="19"/>
    <n v="23"/>
    <n v="0.19700000000000001"/>
    <n v="0.19400000000000001"/>
    <x v="5"/>
  </r>
  <r>
    <n v="139"/>
    <d v="2011-01-07T00:00:00"/>
    <n v="1"/>
    <n v="0"/>
    <b v="0"/>
    <n v="5"/>
    <n v="2"/>
    <x v="2"/>
    <x v="1"/>
    <x v="1"/>
    <s v="Morning"/>
    <n v="0.64"/>
    <n v="4"/>
    <n v="13"/>
    <n v="17"/>
    <n v="0.19700000000000001"/>
    <n v="0.19400000000000001"/>
    <x v="6"/>
  </r>
  <r>
    <n v="140"/>
    <d v="2011-01-07T00:00:00"/>
    <n v="1"/>
    <n v="1"/>
    <b v="0"/>
    <n v="5"/>
    <n v="2"/>
    <x v="2"/>
    <x v="1"/>
    <x v="1"/>
    <s v="Morning"/>
    <n v="0.69"/>
    <n v="2"/>
    <n v="5"/>
    <n v="7"/>
    <n v="0.19700000000000001"/>
    <n v="0.22389999999999999"/>
    <x v="6"/>
  </r>
  <r>
    <n v="141"/>
    <d v="2011-01-07T00:00:00"/>
    <n v="1"/>
    <n v="2"/>
    <b v="0"/>
    <n v="5"/>
    <n v="2"/>
    <x v="2"/>
    <x v="1"/>
    <x v="1"/>
    <s v="Morning"/>
    <n v="0.69"/>
    <n v="0"/>
    <n v="1"/>
    <n v="1"/>
    <n v="0.19700000000000001"/>
    <n v="0.22389999999999999"/>
    <x v="6"/>
  </r>
  <r>
    <n v="142"/>
    <d v="2011-01-07T00:00:00"/>
    <n v="1"/>
    <n v="4"/>
    <b v="0"/>
    <n v="5"/>
    <n v="2"/>
    <x v="2"/>
    <x v="1"/>
    <x v="1"/>
    <s v="Morning"/>
    <n v="0.69"/>
    <n v="0"/>
    <n v="1"/>
    <n v="1"/>
    <n v="0.21210000000000001"/>
    <n v="0.1343"/>
    <x v="6"/>
  </r>
  <r>
    <n v="143"/>
    <d v="2011-01-07T00:00:00"/>
    <n v="1"/>
    <n v="5"/>
    <b v="0"/>
    <n v="5"/>
    <n v="3"/>
    <x v="1"/>
    <x v="1"/>
    <x v="2"/>
    <s v="Morning"/>
    <n v="0.55000000000000004"/>
    <n v="0"/>
    <n v="5"/>
    <n v="5"/>
    <n v="0.2727"/>
    <n v="0"/>
    <x v="6"/>
  </r>
  <r>
    <n v="144"/>
    <d v="2011-01-07T00:00:00"/>
    <n v="1"/>
    <n v="6"/>
    <b v="0"/>
    <n v="5"/>
    <n v="2"/>
    <x v="2"/>
    <x v="1"/>
    <x v="1"/>
    <s v="Morning"/>
    <n v="0.69"/>
    <n v="8"/>
    <n v="26"/>
    <n v="34"/>
    <n v="0.2576"/>
    <n v="0"/>
    <x v="6"/>
  </r>
  <r>
    <n v="145"/>
    <d v="2011-01-07T00:00:00"/>
    <n v="1"/>
    <n v="7"/>
    <b v="0"/>
    <n v="5"/>
    <n v="1"/>
    <x v="2"/>
    <x v="1"/>
    <x v="0"/>
    <s v="Morning"/>
    <n v="0.69"/>
    <n v="8"/>
    <n v="76"/>
    <n v="84"/>
    <n v="0.21210000000000001"/>
    <n v="0.1343"/>
    <x v="6"/>
  </r>
  <r>
    <n v="146"/>
    <d v="2011-01-07T00:00:00"/>
    <n v="1"/>
    <n v="8"/>
    <b v="0"/>
    <n v="5"/>
    <n v="1"/>
    <x v="2"/>
    <x v="1"/>
    <x v="0"/>
    <s v="Morning"/>
    <n v="0.51"/>
    <n v="20"/>
    <n v="190"/>
    <n v="210"/>
    <n v="0.19700000000000001"/>
    <n v="0.25369999999999998"/>
    <x v="6"/>
  </r>
  <r>
    <n v="147"/>
    <d v="2011-01-07T00:00:00"/>
    <n v="1"/>
    <n v="9"/>
    <b v="0"/>
    <n v="5"/>
    <n v="1"/>
    <x v="2"/>
    <x v="1"/>
    <x v="0"/>
    <s v="Morning"/>
    <n v="0.47"/>
    <n v="9"/>
    <n v="125"/>
    <n v="134"/>
    <n v="0.18179999999999999"/>
    <n v="0.29849999999999999"/>
    <x v="6"/>
  </r>
  <r>
    <n v="148"/>
    <d v="2011-01-07T00:00:00"/>
    <n v="1"/>
    <n v="10"/>
    <b v="0"/>
    <n v="5"/>
    <n v="1"/>
    <x v="1"/>
    <x v="1"/>
    <x v="0"/>
    <s v="Morning"/>
    <n v="0.37"/>
    <n v="16"/>
    <n v="47"/>
    <n v="63"/>
    <n v="0.19700000000000001"/>
    <n v="0.32840000000000003"/>
    <x v="6"/>
  </r>
  <r>
    <n v="149"/>
    <d v="2011-01-07T00:00:00"/>
    <n v="1"/>
    <n v="11"/>
    <b v="0"/>
    <n v="5"/>
    <n v="2"/>
    <x v="2"/>
    <x v="1"/>
    <x v="1"/>
    <s v="Morning"/>
    <n v="0.4"/>
    <n v="19"/>
    <n v="48"/>
    <n v="67"/>
    <n v="0.19700000000000001"/>
    <n v="0.22389999999999999"/>
    <x v="6"/>
  </r>
  <r>
    <n v="150"/>
    <d v="2011-01-07T00:00:00"/>
    <n v="1"/>
    <n v="12"/>
    <b v="0"/>
    <n v="5"/>
    <n v="2"/>
    <x v="2"/>
    <x v="1"/>
    <x v="1"/>
    <s v="Afternoon"/>
    <n v="0.37"/>
    <n v="9"/>
    <n v="50"/>
    <n v="59"/>
    <n v="0.19700000000000001"/>
    <n v="0.25369999999999998"/>
    <x v="6"/>
  </r>
  <r>
    <n v="151"/>
    <d v="2011-01-07T00:00:00"/>
    <n v="1"/>
    <n v="13"/>
    <b v="0"/>
    <n v="5"/>
    <n v="2"/>
    <x v="2"/>
    <x v="1"/>
    <x v="1"/>
    <s v="Afternoon"/>
    <n v="0.37"/>
    <n v="9"/>
    <n v="64"/>
    <n v="73"/>
    <n v="0.18179999999999999"/>
    <n v="0.28360000000000002"/>
    <x v="6"/>
  </r>
  <r>
    <n v="152"/>
    <d v="2011-01-07T00:00:00"/>
    <n v="1"/>
    <n v="14"/>
    <b v="0"/>
    <n v="5"/>
    <n v="2"/>
    <x v="2"/>
    <x v="1"/>
    <x v="1"/>
    <s v="Afternoon"/>
    <n v="0.4"/>
    <n v="7"/>
    <n v="43"/>
    <n v="50"/>
    <n v="0.19700000000000001"/>
    <n v="0.25369999999999998"/>
    <x v="6"/>
  </r>
  <r>
    <n v="153"/>
    <d v="2011-01-07T00:00:00"/>
    <n v="1"/>
    <n v="15"/>
    <b v="0"/>
    <n v="5"/>
    <n v="2"/>
    <x v="2"/>
    <x v="1"/>
    <x v="1"/>
    <s v="Afternoon"/>
    <n v="0.37"/>
    <n v="9"/>
    <n v="63"/>
    <n v="72"/>
    <n v="0.21210000000000001"/>
    <n v="0.16420000000000001"/>
    <x v="6"/>
  </r>
  <r>
    <n v="154"/>
    <d v="2011-01-07T00:00:00"/>
    <n v="1"/>
    <n v="16"/>
    <b v="0"/>
    <n v="5"/>
    <n v="2"/>
    <x v="2"/>
    <x v="1"/>
    <x v="1"/>
    <s v="Afternoon"/>
    <n v="0.37"/>
    <n v="5"/>
    <n v="82"/>
    <n v="87"/>
    <n v="0.21210000000000001"/>
    <n v="0.16420000000000001"/>
    <x v="6"/>
  </r>
  <r>
    <n v="155"/>
    <d v="2011-01-07T00:00:00"/>
    <n v="1"/>
    <n v="17"/>
    <b v="0"/>
    <n v="5"/>
    <n v="2"/>
    <x v="2"/>
    <x v="1"/>
    <x v="1"/>
    <s v="Evening"/>
    <n v="0.37"/>
    <n v="9"/>
    <n v="178"/>
    <n v="187"/>
    <n v="0.2576"/>
    <n v="0"/>
    <x v="6"/>
  </r>
  <r>
    <n v="156"/>
    <d v="2011-01-07T00:00:00"/>
    <n v="1"/>
    <n v="18"/>
    <b v="0"/>
    <n v="5"/>
    <n v="1"/>
    <x v="2"/>
    <x v="1"/>
    <x v="0"/>
    <s v="Evening"/>
    <n v="0.4"/>
    <n v="7"/>
    <n v="116"/>
    <n v="123"/>
    <n v="0.2273"/>
    <n v="8.9599999999999999E-2"/>
    <x v="6"/>
  </r>
  <r>
    <n v="157"/>
    <d v="2011-01-07T00:00:00"/>
    <n v="1"/>
    <n v="19"/>
    <b v="0"/>
    <n v="5"/>
    <n v="1"/>
    <x v="13"/>
    <x v="1"/>
    <x v="0"/>
    <s v="Evening"/>
    <n v="0.55000000000000004"/>
    <n v="3"/>
    <n v="92"/>
    <n v="95"/>
    <n v="0.19700000000000001"/>
    <n v="8.9599999999999999E-2"/>
    <x v="6"/>
  </r>
  <r>
    <n v="158"/>
    <d v="2011-01-07T00:00:00"/>
    <n v="1"/>
    <n v="20"/>
    <b v="0"/>
    <n v="5"/>
    <n v="1"/>
    <x v="15"/>
    <x v="1"/>
    <x v="0"/>
    <s v="Evening"/>
    <n v="0.47"/>
    <n v="1"/>
    <n v="50"/>
    <n v="51"/>
    <n v="0.21210000000000001"/>
    <n v="0.1045"/>
    <x v="6"/>
  </r>
  <r>
    <n v="159"/>
    <d v="2011-01-07T00:00:00"/>
    <n v="1"/>
    <n v="21"/>
    <b v="0"/>
    <n v="5"/>
    <n v="1"/>
    <x v="15"/>
    <x v="1"/>
    <x v="0"/>
    <s v="Night"/>
    <n v="0.47"/>
    <n v="0"/>
    <n v="39"/>
    <n v="39"/>
    <n v="0.19700000000000001"/>
    <n v="0.1343"/>
    <x v="6"/>
  </r>
  <r>
    <n v="160"/>
    <d v="2011-01-07T00:00:00"/>
    <n v="1"/>
    <n v="22"/>
    <b v="0"/>
    <n v="5"/>
    <n v="2"/>
    <x v="15"/>
    <x v="1"/>
    <x v="1"/>
    <s v="Night"/>
    <n v="0.43"/>
    <n v="2"/>
    <n v="34"/>
    <n v="36"/>
    <n v="0.19700000000000001"/>
    <n v="0.16420000000000001"/>
    <x v="6"/>
  </r>
  <r>
    <n v="161"/>
    <d v="2011-01-07T00:00:00"/>
    <n v="1"/>
    <n v="23"/>
    <b v="0"/>
    <n v="5"/>
    <n v="2"/>
    <x v="15"/>
    <x v="1"/>
    <x v="1"/>
    <s v="Night"/>
    <n v="0.51"/>
    <n v="1"/>
    <n v="14"/>
    <n v="15"/>
    <n v="0.19700000000000001"/>
    <n v="0.16420000000000001"/>
    <x v="6"/>
  </r>
  <r>
    <n v="162"/>
    <d v="2011-01-08T00:00:00"/>
    <n v="1"/>
    <n v="0"/>
    <b v="0"/>
    <n v="6"/>
    <n v="2"/>
    <x v="15"/>
    <x v="0"/>
    <x v="1"/>
    <s v="Morning"/>
    <n v="0.51"/>
    <n v="1"/>
    <n v="24"/>
    <n v="25"/>
    <n v="0.19700000000000001"/>
    <n v="0.16420000000000001"/>
    <x v="0"/>
  </r>
  <r>
    <n v="163"/>
    <d v="2011-01-08T00:00:00"/>
    <n v="1"/>
    <n v="1"/>
    <b v="0"/>
    <n v="6"/>
    <n v="2"/>
    <x v="15"/>
    <x v="0"/>
    <x v="1"/>
    <s v="Morning"/>
    <n v="0.55000000000000004"/>
    <n v="1"/>
    <n v="15"/>
    <n v="16"/>
    <n v="0.21210000000000001"/>
    <n v="8.9599999999999999E-2"/>
    <x v="0"/>
  </r>
  <r>
    <n v="164"/>
    <d v="2011-01-08T00:00:00"/>
    <n v="1"/>
    <n v="2"/>
    <b v="0"/>
    <n v="6"/>
    <n v="2"/>
    <x v="15"/>
    <x v="0"/>
    <x v="1"/>
    <s v="Morning"/>
    <n v="0.55000000000000004"/>
    <n v="3"/>
    <n v="13"/>
    <n v="16"/>
    <n v="0.2424"/>
    <n v="0"/>
    <x v="0"/>
  </r>
  <r>
    <n v="165"/>
    <d v="2011-01-08T00:00:00"/>
    <n v="1"/>
    <n v="3"/>
    <b v="0"/>
    <n v="6"/>
    <n v="3"/>
    <x v="15"/>
    <x v="0"/>
    <x v="2"/>
    <s v="Morning"/>
    <n v="0.55000000000000004"/>
    <n v="0"/>
    <n v="7"/>
    <n v="7"/>
    <n v="0.19700000000000001"/>
    <n v="0.16420000000000001"/>
    <x v="0"/>
  </r>
  <r>
    <n v="166"/>
    <d v="2011-01-08T00:00:00"/>
    <n v="1"/>
    <n v="4"/>
    <b v="0"/>
    <n v="6"/>
    <n v="3"/>
    <x v="15"/>
    <x v="0"/>
    <x v="2"/>
    <s v="Morning"/>
    <n v="0.55000000000000004"/>
    <n v="0"/>
    <n v="1"/>
    <n v="1"/>
    <n v="0.19700000000000001"/>
    <n v="0.16420000000000001"/>
    <x v="0"/>
  </r>
  <r>
    <n v="167"/>
    <d v="2011-01-08T00:00:00"/>
    <n v="1"/>
    <n v="5"/>
    <b v="0"/>
    <n v="6"/>
    <n v="2"/>
    <x v="13"/>
    <x v="0"/>
    <x v="1"/>
    <s v="Morning"/>
    <n v="0.74"/>
    <n v="0"/>
    <n v="5"/>
    <n v="5"/>
    <n v="0.16669999999999999"/>
    <n v="0.16420000000000001"/>
    <x v="0"/>
  </r>
  <r>
    <n v="168"/>
    <d v="2011-01-08T00:00:00"/>
    <n v="1"/>
    <n v="6"/>
    <b v="0"/>
    <n v="6"/>
    <n v="2"/>
    <x v="13"/>
    <x v="0"/>
    <x v="1"/>
    <s v="Morning"/>
    <n v="0.74"/>
    <n v="0"/>
    <n v="2"/>
    <n v="2"/>
    <n v="0.16669999999999999"/>
    <n v="0.16420000000000001"/>
    <x v="0"/>
  </r>
  <r>
    <n v="169"/>
    <d v="2011-01-08T00:00:00"/>
    <n v="1"/>
    <n v="7"/>
    <b v="0"/>
    <n v="6"/>
    <n v="2"/>
    <x v="13"/>
    <x v="0"/>
    <x v="1"/>
    <s v="Morning"/>
    <n v="0.74"/>
    <n v="1"/>
    <n v="8"/>
    <n v="9"/>
    <n v="0.18179999999999999"/>
    <n v="0.1045"/>
    <x v="0"/>
  </r>
  <r>
    <n v="170"/>
    <d v="2011-01-08T00:00:00"/>
    <n v="1"/>
    <n v="8"/>
    <b v="0"/>
    <n v="6"/>
    <n v="3"/>
    <x v="13"/>
    <x v="0"/>
    <x v="2"/>
    <s v="Morning"/>
    <n v="0.93"/>
    <n v="0"/>
    <n v="15"/>
    <n v="15"/>
    <n v="0.18179999999999999"/>
    <n v="0.1045"/>
    <x v="0"/>
  </r>
  <r>
    <n v="171"/>
    <d v="2011-01-08T00:00:00"/>
    <n v="1"/>
    <n v="9"/>
    <b v="0"/>
    <n v="6"/>
    <n v="3"/>
    <x v="13"/>
    <x v="0"/>
    <x v="2"/>
    <s v="Morning"/>
    <n v="0.93"/>
    <n v="0"/>
    <n v="20"/>
    <n v="20"/>
    <n v="0.18179999999999999"/>
    <n v="0.1045"/>
    <x v="0"/>
  </r>
  <r>
    <n v="172"/>
    <d v="2011-01-08T00:00:00"/>
    <n v="1"/>
    <n v="10"/>
    <b v="0"/>
    <n v="6"/>
    <n v="2"/>
    <x v="15"/>
    <x v="0"/>
    <x v="1"/>
    <s v="Morning"/>
    <n v="0.8"/>
    <n v="5"/>
    <n v="56"/>
    <n v="61"/>
    <n v="0.19700000000000001"/>
    <n v="0.16420000000000001"/>
    <x v="0"/>
  </r>
  <r>
    <n v="173"/>
    <d v="2011-01-08T00:00:00"/>
    <n v="1"/>
    <n v="11"/>
    <b v="0"/>
    <n v="6"/>
    <n v="2"/>
    <x v="2"/>
    <x v="0"/>
    <x v="1"/>
    <s v="Morning"/>
    <n v="0.69"/>
    <n v="2"/>
    <n v="60"/>
    <n v="62"/>
    <n v="0.18179999999999999"/>
    <n v="0.3881"/>
    <x v="0"/>
  </r>
  <r>
    <n v="174"/>
    <d v="2011-01-08T00:00:00"/>
    <n v="1"/>
    <n v="12"/>
    <b v="0"/>
    <n v="6"/>
    <n v="2"/>
    <x v="2"/>
    <x v="0"/>
    <x v="1"/>
    <s v="Afternoon"/>
    <n v="0.59"/>
    <n v="8"/>
    <n v="90"/>
    <n v="98"/>
    <n v="0.18179999999999999"/>
    <n v="0.35820000000000002"/>
    <x v="0"/>
  </r>
  <r>
    <n v="175"/>
    <d v="2011-01-08T00:00:00"/>
    <n v="1"/>
    <n v="13"/>
    <b v="0"/>
    <n v="6"/>
    <n v="1"/>
    <x v="2"/>
    <x v="0"/>
    <x v="0"/>
    <s v="Afternoon"/>
    <n v="0.44"/>
    <n v="7"/>
    <n v="95"/>
    <n v="102"/>
    <n v="0.18179999999999999"/>
    <n v="0.32840000000000003"/>
    <x v="0"/>
  </r>
  <r>
    <n v="176"/>
    <d v="2011-01-08T00:00:00"/>
    <n v="1"/>
    <n v="14"/>
    <b v="0"/>
    <n v="6"/>
    <n v="1"/>
    <x v="2"/>
    <x v="0"/>
    <x v="0"/>
    <s v="Afternoon"/>
    <n v="0.32"/>
    <n v="12"/>
    <n v="83"/>
    <n v="95"/>
    <n v="0.16669999999999999"/>
    <n v="0.49249999999999999"/>
    <x v="0"/>
  </r>
  <r>
    <n v="177"/>
    <d v="2011-01-08T00:00:00"/>
    <n v="1"/>
    <n v="15"/>
    <b v="0"/>
    <n v="6"/>
    <n v="1"/>
    <x v="2"/>
    <x v="0"/>
    <x v="0"/>
    <s v="Afternoon"/>
    <n v="0.32"/>
    <n v="5"/>
    <n v="69"/>
    <n v="74"/>
    <n v="0.16669999999999999"/>
    <n v="0.44779999999999998"/>
    <x v="0"/>
  </r>
  <r>
    <n v="178"/>
    <d v="2011-01-08T00:00:00"/>
    <n v="1"/>
    <n v="16"/>
    <b v="0"/>
    <n v="6"/>
    <n v="1"/>
    <x v="15"/>
    <x v="0"/>
    <x v="0"/>
    <s v="Afternoon"/>
    <n v="0.28999999999999998"/>
    <n v="8"/>
    <n v="68"/>
    <n v="76"/>
    <n v="0.13639999999999999"/>
    <n v="0.44779999999999998"/>
    <x v="0"/>
  </r>
  <r>
    <n v="179"/>
    <d v="2011-01-08T00:00:00"/>
    <n v="1"/>
    <n v="17"/>
    <b v="0"/>
    <n v="6"/>
    <n v="1"/>
    <x v="13"/>
    <x v="0"/>
    <x v="0"/>
    <s v="Evening"/>
    <n v="0.37"/>
    <n v="5"/>
    <n v="64"/>
    <n v="69"/>
    <n v="0.1212"/>
    <n v="0.55220000000000002"/>
    <x v="0"/>
  </r>
  <r>
    <n v="180"/>
    <d v="2011-01-08T00:00:00"/>
    <n v="1"/>
    <n v="18"/>
    <b v="0"/>
    <n v="6"/>
    <n v="1"/>
    <x v="14"/>
    <x v="0"/>
    <x v="0"/>
    <s v="Evening"/>
    <n v="0.39"/>
    <n v="3"/>
    <n v="52"/>
    <n v="55"/>
    <n v="0.1212"/>
    <n v="0.29849999999999999"/>
    <x v="0"/>
  </r>
  <r>
    <n v="181"/>
    <d v="2011-01-08T00:00:00"/>
    <n v="1"/>
    <n v="19"/>
    <b v="0"/>
    <n v="6"/>
    <n v="1"/>
    <x v="14"/>
    <x v="0"/>
    <x v="0"/>
    <s v="Evening"/>
    <n v="0.36"/>
    <n v="4"/>
    <n v="26"/>
    <n v="30"/>
    <n v="0.1212"/>
    <n v="0.25369999999999998"/>
    <x v="0"/>
  </r>
  <r>
    <n v="182"/>
    <d v="2011-01-08T00:00:00"/>
    <n v="1"/>
    <n v="20"/>
    <b v="0"/>
    <n v="6"/>
    <n v="1"/>
    <x v="16"/>
    <x v="0"/>
    <x v="0"/>
    <s v="Evening"/>
    <n v="0.36"/>
    <n v="0"/>
    <n v="28"/>
    <n v="28"/>
    <n v="0.1212"/>
    <n v="0.25369999999999998"/>
    <x v="0"/>
  </r>
  <r>
    <n v="183"/>
    <d v="2011-01-08T00:00:00"/>
    <n v="1"/>
    <n v="21"/>
    <b v="0"/>
    <n v="6"/>
    <n v="1"/>
    <x v="16"/>
    <x v="0"/>
    <x v="0"/>
    <s v="Night"/>
    <n v="0.39"/>
    <n v="2"/>
    <n v="35"/>
    <n v="37"/>
    <n v="0.1061"/>
    <n v="0.35820000000000002"/>
    <x v="0"/>
  </r>
  <r>
    <n v="184"/>
    <d v="2011-01-08T00:00:00"/>
    <n v="1"/>
    <n v="22"/>
    <b v="0"/>
    <n v="6"/>
    <n v="1"/>
    <x v="16"/>
    <x v="0"/>
    <x v="0"/>
    <s v="Night"/>
    <n v="0.36"/>
    <n v="1"/>
    <n v="33"/>
    <n v="34"/>
    <n v="0.1061"/>
    <n v="0.3881"/>
    <x v="0"/>
  </r>
  <r>
    <n v="185"/>
    <d v="2011-01-08T00:00:00"/>
    <n v="1"/>
    <n v="23"/>
    <b v="0"/>
    <n v="6"/>
    <n v="1"/>
    <x v="18"/>
    <x v="0"/>
    <x v="0"/>
    <s v="Night"/>
    <n v="0.39"/>
    <n v="0"/>
    <n v="22"/>
    <n v="22"/>
    <n v="6.0600000000000001E-2"/>
    <n v="0.44779999999999998"/>
    <x v="0"/>
  </r>
  <r>
    <n v="186"/>
    <d v="2011-01-09T00:00:00"/>
    <n v="1"/>
    <n v="0"/>
    <b v="0"/>
    <n v="0"/>
    <n v="1"/>
    <x v="18"/>
    <x v="1"/>
    <x v="0"/>
    <s v="Morning"/>
    <n v="0.42"/>
    <n v="1"/>
    <n v="24"/>
    <n v="25"/>
    <n v="7.5800000000000006E-2"/>
    <n v="0.3881"/>
    <x v="1"/>
  </r>
  <r>
    <n v="187"/>
    <d v="2011-01-09T00:00:00"/>
    <n v="1"/>
    <n v="1"/>
    <b v="0"/>
    <n v="0"/>
    <n v="1"/>
    <x v="18"/>
    <x v="1"/>
    <x v="0"/>
    <s v="Morning"/>
    <n v="0.42"/>
    <n v="0"/>
    <n v="12"/>
    <n v="12"/>
    <n v="6.0600000000000001E-2"/>
    <n v="0.4627"/>
    <x v="1"/>
  </r>
  <r>
    <n v="188"/>
    <d v="2011-01-09T00:00:00"/>
    <n v="1"/>
    <n v="2"/>
    <b v="0"/>
    <n v="0"/>
    <n v="1"/>
    <x v="18"/>
    <x v="1"/>
    <x v="0"/>
    <s v="Morning"/>
    <n v="0.46"/>
    <n v="0"/>
    <n v="11"/>
    <n v="11"/>
    <n v="6.0600000000000001E-2"/>
    <n v="0.4627"/>
    <x v="1"/>
  </r>
  <r>
    <n v="189"/>
    <d v="2011-01-09T00:00:00"/>
    <n v="1"/>
    <n v="3"/>
    <b v="0"/>
    <n v="0"/>
    <n v="1"/>
    <x v="18"/>
    <x v="1"/>
    <x v="0"/>
    <s v="Morning"/>
    <n v="0.46"/>
    <n v="0"/>
    <n v="4"/>
    <n v="4"/>
    <n v="7.5800000000000006E-2"/>
    <n v="0.41789999999999999"/>
    <x v="1"/>
  </r>
  <r>
    <n v="190"/>
    <d v="2011-01-09T00:00:00"/>
    <n v="1"/>
    <n v="4"/>
    <b v="0"/>
    <n v="0"/>
    <n v="1"/>
    <x v="19"/>
    <x v="1"/>
    <x v="0"/>
    <s v="Morning"/>
    <n v="0.53"/>
    <n v="0"/>
    <n v="1"/>
    <n v="1"/>
    <n v="9.0899999999999995E-2"/>
    <n v="0.19400000000000001"/>
    <x v="1"/>
  </r>
  <r>
    <n v="191"/>
    <d v="2011-01-09T00:00:00"/>
    <n v="1"/>
    <n v="5"/>
    <b v="0"/>
    <n v="0"/>
    <n v="1"/>
    <x v="19"/>
    <x v="1"/>
    <x v="0"/>
    <s v="Morning"/>
    <n v="0.53"/>
    <n v="0"/>
    <n v="1"/>
    <n v="1"/>
    <n v="9.0899999999999995E-2"/>
    <n v="0.19400000000000001"/>
    <x v="1"/>
  </r>
  <r>
    <n v="192"/>
    <d v="2011-01-09T00:00:00"/>
    <n v="1"/>
    <n v="6"/>
    <b v="0"/>
    <n v="0"/>
    <n v="1"/>
    <x v="18"/>
    <x v="1"/>
    <x v="0"/>
    <s v="Morning"/>
    <n v="0.49"/>
    <n v="0"/>
    <n v="1"/>
    <n v="1"/>
    <n v="9.0899999999999995E-2"/>
    <n v="0.28360000000000002"/>
    <x v="1"/>
  </r>
  <r>
    <n v="193"/>
    <d v="2011-01-09T00:00:00"/>
    <n v="1"/>
    <n v="7"/>
    <b v="0"/>
    <n v="0"/>
    <n v="1"/>
    <x v="19"/>
    <x v="1"/>
    <x v="0"/>
    <s v="Morning"/>
    <n v="0.53"/>
    <n v="1"/>
    <n v="5"/>
    <n v="6"/>
    <n v="9.0899999999999995E-2"/>
    <n v="0.19400000000000001"/>
    <x v="1"/>
  </r>
  <r>
    <n v="194"/>
    <d v="2011-01-09T00:00:00"/>
    <n v="1"/>
    <n v="8"/>
    <b v="0"/>
    <n v="0"/>
    <n v="1"/>
    <x v="18"/>
    <x v="1"/>
    <x v="0"/>
    <s v="Morning"/>
    <n v="0.49"/>
    <n v="0"/>
    <n v="10"/>
    <n v="10"/>
    <n v="9.0899999999999995E-2"/>
    <n v="0.28360000000000002"/>
    <x v="1"/>
  </r>
  <r>
    <n v="195"/>
    <d v="2011-01-09T00:00:00"/>
    <n v="1"/>
    <n v="9"/>
    <b v="0"/>
    <n v="0"/>
    <n v="1"/>
    <x v="16"/>
    <x v="1"/>
    <x v="0"/>
    <s v="Morning"/>
    <n v="0.46"/>
    <n v="0"/>
    <n v="19"/>
    <n v="19"/>
    <n v="7.5800000000000006E-2"/>
    <n v="0.52239999999999998"/>
    <x v="1"/>
  </r>
  <r>
    <n v="196"/>
    <d v="2011-01-09T00:00:00"/>
    <n v="1"/>
    <n v="10"/>
    <b v="0"/>
    <n v="0"/>
    <n v="1"/>
    <x v="14"/>
    <x v="1"/>
    <x v="0"/>
    <s v="Morning"/>
    <n v="0.43"/>
    <n v="0"/>
    <n v="49"/>
    <n v="49"/>
    <n v="0.1061"/>
    <n v="0.3881"/>
    <x v="1"/>
  </r>
  <r>
    <n v="197"/>
    <d v="2011-01-09T00:00:00"/>
    <n v="1"/>
    <n v="11"/>
    <b v="0"/>
    <n v="0"/>
    <n v="1"/>
    <x v="13"/>
    <x v="1"/>
    <x v="0"/>
    <s v="Morning"/>
    <n v="0.4"/>
    <n v="2"/>
    <n v="47"/>
    <n v="49"/>
    <n v="0.1212"/>
    <n v="0.52239999999999998"/>
    <x v="1"/>
  </r>
  <r>
    <n v="198"/>
    <d v="2011-01-09T00:00:00"/>
    <n v="1"/>
    <n v="12"/>
    <b v="0"/>
    <n v="0"/>
    <n v="1"/>
    <x v="15"/>
    <x v="1"/>
    <x v="0"/>
    <s v="Afternoon"/>
    <n v="0.37"/>
    <n v="4"/>
    <n v="79"/>
    <n v="83"/>
    <n v="0.13639999999999999"/>
    <n v="0.44779999999999998"/>
    <x v="1"/>
  </r>
  <r>
    <n v="199"/>
    <d v="2011-01-09T00:00:00"/>
    <n v="1"/>
    <n v="13"/>
    <b v="0"/>
    <n v="0"/>
    <n v="1"/>
    <x v="2"/>
    <x v="1"/>
    <x v="0"/>
    <s v="Afternoon"/>
    <n v="0.34"/>
    <n v="6"/>
    <n v="69"/>
    <n v="75"/>
    <n v="0.16669999999999999"/>
    <n v="0.44779999999999998"/>
    <x v="1"/>
  </r>
  <r>
    <n v="200"/>
    <d v="2011-01-09T00:00:00"/>
    <n v="1"/>
    <n v="14"/>
    <b v="0"/>
    <n v="0"/>
    <n v="1"/>
    <x v="1"/>
    <x v="1"/>
    <x v="0"/>
    <s v="Afternoon"/>
    <n v="0.32"/>
    <n v="8"/>
    <n v="64"/>
    <n v="72"/>
    <n v="0.18179999999999999"/>
    <n v="0.4627"/>
    <x v="1"/>
  </r>
  <r>
    <n v="201"/>
    <d v="2011-01-09T00:00:00"/>
    <n v="1"/>
    <n v="15"/>
    <b v="0"/>
    <n v="0"/>
    <n v="1"/>
    <x v="1"/>
    <x v="1"/>
    <x v="0"/>
    <s v="Afternoon"/>
    <n v="0.35"/>
    <n v="5"/>
    <n v="77"/>
    <n v="82"/>
    <n v="0.19700000000000001"/>
    <n v="0.35820000000000002"/>
    <x v="1"/>
  </r>
  <r>
    <n v="202"/>
    <d v="2011-01-09T00:00:00"/>
    <n v="1"/>
    <n v="16"/>
    <b v="0"/>
    <n v="0"/>
    <n v="1"/>
    <x v="2"/>
    <x v="1"/>
    <x v="0"/>
    <s v="Afternoon"/>
    <n v="0.34"/>
    <n v="13"/>
    <n v="79"/>
    <n v="92"/>
    <n v="0.16669999999999999"/>
    <n v="0.44779999999999998"/>
    <x v="1"/>
  </r>
  <r>
    <n v="203"/>
    <d v="2011-01-09T00:00:00"/>
    <n v="1"/>
    <n v="17"/>
    <b v="0"/>
    <n v="0"/>
    <n v="1"/>
    <x v="15"/>
    <x v="1"/>
    <x v="0"/>
    <s v="Evening"/>
    <n v="0.37"/>
    <n v="3"/>
    <n v="59"/>
    <n v="62"/>
    <n v="0.1515"/>
    <n v="0.3881"/>
    <x v="1"/>
  </r>
  <r>
    <n v="204"/>
    <d v="2011-01-09T00:00:00"/>
    <n v="1"/>
    <n v="18"/>
    <b v="0"/>
    <n v="0"/>
    <n v="1"/>
    <x v="13"/>
    <x v="1"/>
    <x v="0"/>
    <s v="Evening"/>
    <n v="0.4"/>
    <n v="4"/>
    <n v="44"/>
    <n v="48"/>
    <n v="0.13639999999999999"/>
    <n v="0.32840000000000003"/>
    <x v="1"/>
  </r>
  <r>
    <n v="205"/>
    <d v="2011-01-09T00:00:00"/>
    <n v="1"/>
    <n v="19"/>
    <b v="0"/>
    <n v="0"/>
    <n v="1"/>
    <x v="13"/>
    <x v="1"/>
    <x v="0"/>
    <s v="Evening"/>
    <n v="0.43"/>
    <n v="1"/>
    <n v="40"/>
    <n v="41"/>
    <n v="0.13639999999999999"/>
    <n v="0.32840000000000003"/>
    <x v="1"/>
  </r>
  <r>
    <n v="206"/>
    <d v="2011-01-09T00:00:00"/>
    <n v="1"/>
    <n v="20"/>
    <b v="0"/>
    <n v="0"/>
    <n v="1"/>
    <x v="14"/>
    <x v="1"/>
    <x v="0"/>
    <s v="Evening"/>
    <n v="0.46"/>
    <n v="0"/>
    <n v="38"/>
    <n v="38"/>
    <n v="0.1212"/>
    <n v="0.25369999999999998"/>
    <x v="1"/>
  </r>
  <r>
    <n v="207"/>
    <d v="2011-01-09T00:00:00"/>
    <n v="1"/>
    <n v="21"/>
    <b v="0"/>
    <n v="0"/>
    <n v="1"/>
    <x v="14"/>
    <x v="1"/>
    <x v="0"/>
    <s v="Night"/>
    <n v="0.46"/>
    <n v="1"/>
    <n v="19"/>
    <n v="20"/>
    <n v="0.1061"/>
    <n v="0.41789999999999999"/>
    <x v="1"/>
  </r>
  <r>
    <n v="208"/>
    <d v="2011-01-09T00:00:00"/>
    <n v="1"/>
    <n v="22"/>
    <b v="0"/>
    <n v="0"/>
    <n v="1"/>
    <x v="14"/>
    <x v="1"/>
    <x v="0"/>
    <s v="Night"/>
    <n v="0.46"/>
    <n v="5"/>
    <n v="10"/>
    <n v="15"/>
    <n v="0.1212"/>
    <n v="0.29849999999999999"/>
    <x v="1"/>
  </r>
  <r>
    <n v="209"/>
    <d v="2011-01-09T00:00:00"/>
    <n v="1"/>
    <n v="23"/>
    <b v="0"/>
    <n v="0"/>
    <n v="1"/>
    <x v="16"/>
    <x v="1"/>
    <x v="0"/>
    <s v="Night"/>
    <n v="0.5"/>
    <n v="0"/>
    <n v="6"/>
    <n v="6"/>
    <n v="0.13639999999999999"/>
    <n v="0.19400000000000001"/>
    <x v="1"/>
  </r>
  <r>
    <n v="210"/>
    <d v="2011-01-10T00:00:00"/>
    <n v="1"/>
    <n v="0"/>
    <b v="0"/>
    <n v="1"/>
    <n v="1"/>
    <x v="16"/>
    <x v="1"/>
    <x v="0"/>
    <s v="Morning"/>
    <n v="0.5"/>
    <n v="2"/>
    <n v="3"/>
    <n v="5"/>
    <n v="0.1212"/>
    <n v="0.28360000000000002"/>
    <x v="2"/>
  </r>
  <r>
    <n v="211"/>
    <d v="2011-01-10T00:00:00"/>
    <n v="1"/>
    <n v="1"/>
    <b v="0"/>
    <n v="1"/>
    <n v="1"/>
    <x v="16"/>
    <x v="1"/>
    <x v="0"/>
    <s v="Morning"/>
    <n v="0.5"/>
    <n v="1"/>
    <n v="0"/>
    <n v="1"/>
    <n v="0.1212"/>
    <n v="0.28360000000000002"/>
    <x v="2"/>
  </r>
  <r>
    <n v="212"/>
    <d v="2011-01-10T00:00:00"/>
    <n v="1"/>
    <n v="2"/>
    <b v="0"/>
    <n v="1"/>
    <n v="1"/>
    <x v="16"/>
    <x v="1"/>
    <x v="0"/>
    <s v="Morning"/>
    <n v="0.5"/>
    <n v="0"/>
    <n v="3"/>
    <n v="3"/>
    <n v="0.1212"/>
    <n v="0.22389999999999999"/>
    <x v="2"/>
  </r>
  <r>
    <n v="213"/>
    <d v="2011-01-10T00:00:00"/>
    <n v="1"/>
    <n v="3"/>
    <b v="0"/>
    <n v="1"/>
    <n v="1"/>
    <x v="16"/>
    <x v="1"/>
    <x v="0"/>
    <s v="Morning"/>
    <n v="0.5"/>
    <n v="0"/>
    <n v="1"/>
    <n v="1"/>
    <n v="0.1212"/>
    <n v="0.22389999999999999"/>
    <x v="2"/>
  </r>
  <r>
    <n v="214"/>
    <d v="2011-01-10T00:00:00"/>
    <n v="1"/>
    <n v="4"/>
    <b v="0"/>
    <n v="1"/>
    <n v="1"/>
    <x v="18"/>
    <x v="1"/>
    <x v="0"/>
    <s v="Morning"/>
    <n v="0.54"/>
    <n v="1"/>
    <n v="2"/>
    <n v="3"/>
    <n v="0.1212"/>
    <n v="0.1343"/>
    <x v="2"/>
  </r>
  <r>
    <n v="215"/>
    <d v="2011-01-10T00:00:00"/>
    <n v="1"/>
    <n v="5"/>
    <b v="0"/>
    <n v="1"/>
    <n v="1"/>
    <x v="18"/>
    <x v="1"/>
    <x v="0"/>
    <s v="Morning"/>
    <n v="0.54"/>
    <n v="0"/>
    <n v="3"/>
    <n v="3"/>
    <n v="0.1061"/>
    <n v="0.25369999999999998"/>
    <x v="2"/>
  </r>
  <r>
    <n v="216"/>
    <d v="2011-01-10T00:00:00"/>
    <n v="1"/>
    <n v="6"/>
    <b v="0"/>
    <n v="1"/>
    <n v="1"/>
    <x v="16"/>
    <x v="1"/>
    <x v="0"/>
    <s v="Morning"/>
    <n v="0.5"/>
    <n v="0"/>
    <n v="31"/>
    <n v="31"/>
    <n v="0.1212"/>
    <n v="0.28360000000000002"/>
    <x v="2"/>
  </r>
  <r>
    <n v="217"/>
    <d v="2011-01-10T00:00:00"/>
    <n v="1"/>
    <n v="7"/>
    <b v="0"/>
    <n v="1"/>
    <n v="1"/>
    <x v="16"/>
    <x v="1"/>
    <x v="0"/>
    <s v="Morning"/>
    <n v="0.5"/>
    <n v="2"/>
    <n v="75"/>
    <n v="77"/>
    <n v="0.1212"/>
    <n v="0.22389999999999999"/>
    <x v="2"/>
  </r>
  <r>
    <n v="218"/>
    <d v="2011-01-10T00:00:00"/>
    <n v="1"/>
    <n v="8"/>
    <b v="0"/>
    <n v="1"/>
    <n v="2"/>
    <x v="16"/>
    <x v="1"/>
    <x v="1"/>
    <s v="Morning"/>
    <n v="0.5"/>
    <n v="4"/>
    <n v="184"/>
    <n v="188"/>
    <n v="0.1212"/>
    <n v="0.28360000000000002"/>
    <x v="2"/>
  </r>
  <r>
    <n v="219"/>
    <d v="2011-01-10T00:00:00"/>
    <n v="1"/>
    <n v="9"/>
    <b v="0"/>
    <n v="1"/>
    <n v="2"/>
    <x v="14"/>
    <x v="1"/>
    <x v="1"/>
    <s v="Morning"/>
    <n v="0.5"/>
    <n v="2"/>
    <n v="92"/>
    <n v="94"/>
    <n v="0.1212"/>
    <n v="0.25369999999999998"/>
    <x v="2"/>
  </r>
  <r>
    <n v="220"/>
    <d v="2011-01-10T00:00:00"/>
    <n v="1"/>
    <n v="10"/>
    <b v="0"/>
    <n v="1"/>
    <n v="2"/>
    <x v="14"/>
    <x v="1"/>
    <x v="1"/>
    <s v="Morning"/>
    <n v="0.5"/>
    <n v="0"/>
    <n v="31"/>
    <n v="31"/>
    <n v="0.1212"/>
    <n v="0.29849999999999999"/>
    <x v="2"/>
  </r>
  <r>
    <n v="221"/>
    <d v="2011-01-10T00:00:00"/>
    <n v="1"/>
    <n v="11"/>
    <b v="0"/>
    <n v="1"/>
    <n v="2"/>
    <x v="13"/>
    <x v="1"/>
    <x v="1"/>
    <s v="Morning"/>
    <n v="0.47"/>
    <n v="2"/>
    <n v="28"/>
    <n v="30"/>
    <n v="0.13639999999999999"/>
    <n v="0.28360000000000002"/>
    <x v="2"/>
  </r>
  <r>
    <n v="222"/>
    <d v="2011-01-10T00:00:00"/>
    <n v="1"/>
    <n v="12"/>
    <b v="0"/>
    <n v="1"/>
    <n v="2"/>
    <x v="2"/>
    <x v="1"/>
    <x v="1"/>
    <s v="Afternoon"/>
    <n v="0.4"/>
    <n v="5"/>
    <n v="47"/>
    <n v="52"/>
    <n v="0.18179999999999999"/>
    <n v="0.28360000000000002"/>
    <x v="2"/>
  </r>
  <r>
    <n v="223"/>
    <d v="2011-01-10T00:00:00"/>
    <n v="1"/>
    <n v="13"/>
    <b v="0"/>
    <n v="1"/>
    <n v="2"/>
    <x v="2"/>
    <x v="1"/>
    <x v="1"/>
    <s v="Afternoon"/>
    <n v="0.4"/>
    <n v="4"/>
    <n v="50"/>
    <n v="54"/>
    <n v="0.18179999999999999"/>
    <n v="0.28360000000000002"/>
    <x v="2"/>
  </r>
  <r>
    <n v="224"/>
    <d v="2011-01-10T00:00:00"/>
    <n v="1"/>
    <n v="14"/>
    <b v="0"/>
    <n v="1"/>
    <n v="2"/>
    <x v="2"/>
    <x v="1"/>
    <x v="1"/>
    <s v="Afternoon"/>
    <n v="0.4"/>
    <n v="0"/>
    <n v="47"/>
    <n v="47"/>
    <n v="0.19700000000000001"/>
    <n v="0.22389999999999999"/>
    <x v="2"/>
  </r>
  <r>
    <n v="225"/>
    <d v="2011-01-10T00:00:00"/>
    <n v="1"/>
    <n v="15"/>
    <b v="0"/>
    <n v="1"/>
    <n v="2"/>
    <x v="2"/>
    <x v="1"/>
    <x v="1"/>
    <s v="Afternoon"/>
    <n v="0.4"/>
    <n v="2"/>
    <n v="43"/>
    <n v="45"/>
    <n v="0.19700000000000001"/>
    <n v="0.22389999999999999"/>
    <x v="2"/>
  </r>
  <r>
    <n v="226"/>
    <d v="2011-01-10T00:00:00"/>
    <n v="1"/>
    <n v="16"/>
    <b v="0"/>
    <n v="1"/>
    <n v="1"/>
    <x v="2"/>
    <x v="1"/>
    <x v="0"/>
    <s v="Afternoon"/>
    <n v="0.4"/>
    <n v="4"/>
    <n v="70"/>
    <n v="74"/>
    <n v="0.21210000000000001"/>
    <n v="0.1343"/>
    <x v="2"/>
  </r>
  <r>
    <n v="227"/>
    <d v="2011-01-10T00:00:00"/>
    <n v="1"/>
    <n v="17"/>
    <b v="0"/>
    <n v="1"/>
    <n v="1"/>
    <x v="2"/>
    <x v="1"/>
    <x v="0"/>
    <s v="Evening"/>
    <n v="0.4"/>
    <n v="4"/>
    <n v="174"/>
    <n v="178"/>
    <n v="0.2273"/>
    <n v="0.1045"/>
    <x v="2"/>
  </r>
  <r>
    <n v="228"/>
    <d v="2011-01-10T00:00:00"/>
    <n v="1"/>
    <n v="18"/>
    <b v="0"/>
    <n v="1"/>
    <n v="1"/>
    <x v="2"/>
    <x v="1"/>
    <x v="0"/>
    <s v="Evening"/>
    <n v="0.4"/>
    <n v="1"/>
    <n v="154"/>
    <n v="155"/>
    <n v="0.19700000000000001"/>
    <n v="0.22389999999999999"/>
    <x v="2"/>
  </r>
  <r>
    <n v="229"/>
    <d v="2011-01-10T00:00:00"/>
    <n v="1"/>
    <n v="19"/>
    <b v="0"/>
    <n v="1"/>
    <n v="1"/>
    <x v="13"/>
    <x v="1"/>
    <x v="0"/>
    <s v="Evening"/>
    <n v="0.47"/>
    <n v="3"/>
    <n v="92"/>
    <n v="95"/>
    <n v="0.16669999999999999"/>
    <n v="0.16420000000000001"/>
    <x v="2"/>
  </r>
  <r>
    <n v="230"/>
    <d v="2011-01-10T00:00:00"/>
    <n v="1"/>
    <n v="20"/>
    <b v="0"/>
    <n v="1"/>
    <n v="1"/>
    <x v="13"/>
    <x v="1"/>
    <x v="0"/>
    <s v="Evening"/>
    <n v="0.5"/>
    <n v="1"/>
    <n v="73"/>
    <n v="74"/>
    <n v="0.16669999999999999"/>
    <n v="0.16420000000000001"/>
    <x v="2"/>
  </r>
  <r>
    <n v="231"/>
    <d v="2011-01-10T00:00:00"/>
    <n v="1"/>
    <n v="21"/>
    <b v="0"/>
    <n v="1"/>
    <n v="1"/>
    <x v="14"/>
    <x v="1"/>
    <x v="0"/>
    <s v="Night"/>
    <n v="0.59"/>
    <n v="1"/>
    <n v="37"/>
    <n v="38"/>
    <n v="0.13639999999999999"/>
    <n v="0.19400000000000001"/>
    <x v="2"/>
  </r>
  <r>
    <n v="232"/>
    <d v="2011-01-10T00:00:00"/>
    <n v="1"/>
    <n v="22"/>
    <b v="0"/>
    <n v="1"/>
    <n v="1"/>
    <x v="14"/>
    <x v="1"/>
    <x v="0"/>
    <s v="Night"/>
    <n v="0.59"/>
    <n v="2"/>
    <n v="22"/>
    <n v="24"/>
    <n v="0.1515"/>
    <n v="0.16420000000000001"/>
    <x v="2"/>
  </r>
  <r>
    <n v="233"/>
    <d v="2011-01-10T00:00:00"/>
    <n v="1"/>
    <n v="23"/>
    <b v="0"/>
    <n v="1"/>
    <n v="1"/>
    <x v="14"/>
    <x v="1"/>
    <x v="0"/>
    <s v="Night"/>
    <n v="0.59"/>
    <n v="0"/>
    <n v="18"/>
    <n v="18"/>
    <n v="0.1515"/>
    <n v="0.16420000000000001"/>
    <x v="2"/>
  </r>
  <r>
    <n v="234"/>
    <d v="2011-01-11T00:00:00"/>
    <n v="1"/>
    <n v="0"/>
    <b v="0"/>
    <n v="2"/>
    <n v="1"/>
    <x v="14"/>
    <x v="1"/>
    <x v="0"/>
    <s v="Morning"/>
    <n v="0.59"/>
    <n v="2"/>
    <n v="10"/>
    <n v="12"/>
    <n v="0.16669999999999999"/>
    <n v="0.1045"/>
    <x v="3"/>
  </r>
  <r>
    <n v="235"/>
    <d v="2011-01-11T00:00:00"/>
    <n v="1"/>
    <n v="1"/>
    <b v="0"/>
    <n v="2"/>
    <n v="1"/>
    <x v="14"/>
    <x v="1"/>
    <x v="0"/>
    <s v="Morning"/>
    <n v="0.59"/>
    <n v="0"/>
    <n v="3"/>
    <n v="3"/>
    <n v="0.1515"/>
    <n v="0.16420000000000001"/>
    <x v="3"/>
  </r>
  <r>
    <n v="236"/>
    <d v="2011-01-11T00:00:00"/>
    <n v="1"/>
    <n v="2"/>
    <b v="0"/>
    <n v="2"/>
    <n v="2"/>
    <x v="13"/>
    <x v="1"/>
    <x v="1"/>
    <s v="Morning"/>
    <n v="0.55000000000000004"/>
    <n v="0"/>
    <n v="3"/>
    <n v="3"/>
    <n v="0.1515"/>
    <n v="0.19400000000000001"/>
    <x v="3"/>
  </r>
  <r>
    <n v="237"/>
    <d v="2011-01-11T00:00:00"/>
    <n v="1"/>
    <n v="5"/>
    <b v="0"/>
    <n v="2"/>
    <n v="2"/>
    <x v="13"/>
    <x v="1"/>
    <x v="1"/>
    <s v="Morning"/>
    <n v="0.55000000000000004"/>
    <n v="0"/>
    <n v="6"/>
    <n v="6"/>
    <n v="0.18179999999999999"/>
    <n v="0.1343"/>
    <x v="3"/>
  </r>
  <r>
    <n v="238"/>
    <d v="2011-01-11T00:00:00"/>
    <n v="1"/>
    <n v="6"/>
    <b v="0"/>
    <n v="2"/>
    <n v="2"/>
    <x v="13"/>
    <x v="1"/>
    <x v="1"/>
    <s v="Morning"/>
    <n v="0.55000000000000004"/>
    <n v="0"/>
    <n v="27"/>
    <n v="27"/>
    <n v="0.18179999999999999"/>
    <n v="0.1343"/>
    <x v="3"/>
  </r>
  <r>
    <n v="239"/>
    <d v="2011-01-11T00:00:00"/>
    <n v="1"/>
    <n v="7"/>
    <b v="0"/>
    <n v="2"/>
    <n v="2"/>
    <x v="13"/>
    <x v="1"/>
    <x v="1"/>
    <s v="Morning"/>
    <n v="0.55000000000000004"/>
    <n v="2"/>
    <n v="97"/>
    <n v="99"/>
    <n v="0.2273"/>
    <n v="0"/>
    <x v="3"/>
  </r>
  <r>
    <n v="240"/>
    <d v="2011-01-11T00:00:00"/>
    <n v="1"/>
    <n v="8"/>
    <b v="0"/>
    <n v="2"/>
    <n v="2"/>
    <x v="15"/>
    <x v="1"/>
    <x v="1"/>
    <s v="Morning"/>
    <n v="0.51"/>
    <n v="3"/>
    <n v="214"/>
    <n v="217"/>
    <n v="0.21210000000000001"/>
    <n v="8.9599999999999999E-2"/>
    <x v="3"/>
  </r>
  <r>
    <n v="241"/>
    <d v="2011-01-11T00:00:00"/>
    <n v="1"/>
    <n v="9"/>
    <b v="0"/>
    <n v="2"/>
    <n v="2"/>
    <x v="15"/>
    <x v="1"/>
    <x v="1"/>
    <s v="Morning"/>
    <n v="0.51"/>
    <n v="3"/>
    <n v="127"/>
    <n v="130"/>
    <n v="0.19700000000000001"/>
    <n v="0.16420000000000001"/>
    <x v="3"/>
  </r>
  <r>
    <n v="242"/>
    <d v="2011-01-11T00:00:00"/>
    <n v="1"/>
    <n v="10"/>
    <b v="0"/>
    <n v="2"/>
    <n v="2"/>
    <x v="2"/>
    <x v="1"/>
    <x v="1"/>
    <s v="Morning"/>
    <n v="0.51"/>
    <n v="3"/>
    <n v="51"/>
    <n v="54"/>
    <n v="0.21210000000000001"/>
    <n v="0.16420000000000001"/>
    <x v="3"/>
  </r>
  <r>
    <n v="243"/>
    <d v="2011-01-11T00:00:00"/>
    <n v="1"/>
    <n v="11"/>
    <b v="0"/>
    <n v="2"/>
    <n v="2"/>
    <x v="2"/>
    <x v="1"/>
    <x v="1"/>
    <s v="Morning"/>
    <n v="0.47"/>
    <n v="4"/>
    <n v="31"/>
    <n v="35"/>
    <n v="0.21210000000000001"/>
    <n v="0.1343"/>
    <x v="3"/>
  </r>
  <r>
    <n v="244"/>
    <d v="2011-01-11T00:00:00"/>
    <n v="1"/>
    <n v="12"/>
    <b v="0"/>
    <n v="2"/>
    <n v="2"/>
    <x v="2"/>
    <x v="1"/>
    <x v="1"/>
    <s v="Afternoon"/>
    <n v="0.51"/>
    <n v="2"/>
    <n v="55"/>
    <n v="57"/>
    <n v="0.2273"/>
    <n v="0.1045"/>
    <x v="3"/>
  </r>
  <r>
    <n v="245"/>
    <d v="2011-01-11T00:00:00"/>
    <n v="1"/>
    <n v="13"/>
    <b v="0"/>
    <n v="2"/>
    <n v="2"/>
    <x v="2"/>
    <x v="1"/>
    <x v="1"/>
    <s v="Afternoon"/>
    <n v="0.59"/>
    <n v="6"/>
    <n v="46"/>
    <n v="52"/>
    <n v="0.2273"/>
    <n v="8.9599999999999999E-2"/>
    <x v="3"/>
  </r>
  <r>
    <n v="246"/>
    <d v="2011-01-11T00:00:00"/>
    <n v="1"/>
    <n v="14"/>
    <b v="0"/>
    <n v="2"/>
    <n v="2"/>
    <x v="2"/>
    <x v="1"/>
    <x v="1"/>
    <s v="Afternoon"/>
    <n v="0.59"/>
    <n v="3"/>
    <n v="60"/>
    <n v="63"/>
    <n v="0.2273"/>
    <n v="8.9599999999999999E-2"/>
    <x v="3"/>
  </r>
  <r>
    <n v="247"/>
    <d v="2011-01-11T00:00:00"/>
    <n v="1"/>
    <n v="15"/>
    <b v="0"/>
    <n v="2"/>
    <n v="2"/>
    <x v="13"/>
    <x v="1"/>
    <x v="1"/>
    <s v="Afternoon"/>
    <n v="0.8"/>
    <n v="2"/>
    <n v="45"/>
    <n v="47"/>
    <n v="0.19700000000000001"/>
    <n v="8.9599999999999999E-2"/>
    <x v="3"/>
  </r>
  <r>
    <n v="248"/>
    <d v="2011-01-11T00:00:00"/>
    <n v="1"/>
    <n v="16"/>
    <b v="0"/>
    <n v="2"/>
    <n v="2"/>
    <x v="13"/>
    <x v="1"/>
    <x v="1"/>
    <s v="Afternoon"/>
    <n v="0.86"/>
    <n v="4"/>
    <n v="72"/>
    <n v="76"/>
    <n v="0.1515"/>
    <n v="0.22389999999999999"/>
    <x v="3"/>
  </r>
  <r>
    <n v="249"/>
    <d v="2011-01-11T00:00:00"/>
    <n v="1"/>
    <n v="17"/>
    <b v="0"/>
    <n v="2"/>
    <n v="2"/>
    <x v="13"/>
    <x v="1"/>
    <x v="1"/>
    <s v="Evening"/>
    <n v="0.86"/>
    <n v="6"/>
    <n v="130"/>
    <n v="136"/>
    <n v="0.1515"/>
    <n v="0.22389999999999999"/>
    <x v="3"/>
  </r>
  <r>
    <n v="250"/>
    <d v="2011-01-11T00:00:00"/>
    <n v="1"/>
    <n v="18"/>
    <b v="0"/>
    <n v="2"/>
    <n v="3"/>
    <x v="13"/>
    <x v="1"/>
    <x v="2"/>
    <s v="Evening"/>
    <n v="0.93"/>
    <n v="1"/>
    <n v="94"/>
    <n v="95"/>
    <n v="0.18179999999999999"/>
    <n v="0.1045"/>
    <x v="3"/>
  </r>
  <r>
    <n v="251"/>
    <d v="2011-01-11T00:00:00"/>
    <n v="1"/>
    <n v="19"/>
    <b v="0"/>
    <n v="2"/>
    <n v="3"/>
    <x v="13"/>
    <x v="1"/>
    <x v="2"/>
    <s v="Evening"/>
    <n v="0.93"/>
    <n v="0"/>
    <n v="51"/>
    <n v="51"/>
    <n v="0.2273"/>
    <n v="0"/>
    <x v="3"/>
  </r>
  <r>
    <n v="252"/>
    <d v="2011-01-11T00:00:00"/>
    <n v="1"/>
    <n v="20"/>
    <b v="0"/>
    <n v="2"/>
    <n v="3"/>
    <x v="13"/>
    <x v="1"/>
    <x v="2"/>
    <s v="Evening"/>
    <n v="0.93"/>
    <n v="0"/>
    <n v="32"/>
    <n v="32"/>
    <n v="0.1515"/>
    <n v="0.19400000000000001"/>
    <x v="3"/>
  </r>
  <r>
    <n v="253"/>
    <d v="2011-01-11T00:00:00"/>
    <n v="1"/>
    <n v="21"/>
    <b v="0"/>
    <n v="2"/>
    <n v="3"/>
    <x v="13"/>
    <x v="1"/>
    <x v="2"/>
    <s v="Night"/>
    <n v="0.86"/>
    <n v="0"/>
    <n v="20"/>
    <n v="20"/>
    <n v="0.19700000000000001"/>
    <n v="8.9599999999999999E-2"/>
    <x v="3"/>
  </r>
  <r>
    <n v="254"/>
    <d v="2011-01-11T00:00:00"/>
    <n v="1"/>
    <n v="22"/>
    <b v="0"/>
    <n v="2"/>
    <n v="3"/>
    <x v="13"/>
    <x v="1"/>
    <x v="2"/>
    <s v="Night"/>
    <n v="0.93"/>
    <n v="1"/>
    <n v="28"/>
    <n v="29"/>
    <n v="0.18179999999999999"/>
    <n v="0.1045"/>
    <x v="3"/>
  </r>
  <r>
    <n v="255"/>
    <d v="2011-01-11T00:00:00"/>
    <n v="1"/>
    <n v="23"/>
    <b v="0"/>
    <n v="2"/>
    <n v="3"/>
    <x v="13"/>
    <x v="1"/>
    <x v="2"/>
    <s v="Night"/>
    <n v="0.93"/>
    <n v="1"/>
    <n v="18"/>
    <n v="19"/>
    <n v="0.19700000000000001"/>
    <n v="8.9599999999999999E-2"/>
    <x v="3"/>
  </r>
  <r>
    <n v="256"/>
    <d v="2011-01-12T00:00:00"/>
    <n v="1"/>
    <n v="0"/>
    <b v="0"/>
    <n v="3"/>
    <n v="2"/>
    <x v="13"/>
    <x v="1"/>
    <x v="1"/>
    <s v="Morning"/>
    <n v="0.86"/>
    <n v="0"/>
    <n v="7"/>
    <n v="7"/>
    <n v="0.19700000000000001"/>
    <n v="8.9599999999999999E-2"/>
    <x v="4"/>
  </r>
  <r>
    <n v="257"/>
    <d v="2011-01-12T00:00:00"/>
    <n v="1"/>
    <n v="1"/>
    <b v="0"/>
    <n v="3"/>
    <n v="2"/>
    <x v="13"/>
    <x v="1"/>
    <x v="1"/>
    <s v="Morning"/>
    <n v="0.86"/>
    <n v="0"/>
    <n v="6"/>
    <n v="6"/>
    <n v="0.18179999999999999"/>
    <n v="0.1045"/>
    <x v="4"/>
  </r>
  <r>
    <n v="258"/>
    <d v="2011-01-12T00:00:00"/>
    <n v="1"/>
    <n v="2"/>
    <b v="0"/>
    <n v="3"/>
    <n v="1"/>
    <x v="14"/>
    <x v="1"/>
    <x v="0"/>
    <s v="Morning"/>
    <n v="0.86"/>
    <n v="0"/>
    <n v="1"/>
    <n v="1"/>
    <n v="0.1515"/>
    <n v="0.1343"/>
    <x v="4"/>
  </r>
  <r>
    <n v="259"/>
    <d v="2011-01-12T00:00:00"/>
    <n v="1"/>
    <n v="5"/>
    <b v="0"/>
    <n v="3"/>
    <n v="1"/>
    <x v="14"/>
    <x v="1"/>
    <x v="0"/>
    <s v="Morning"/>
    <n v="0.86"/>
    <n v="0"/>
    <n v="5"/>
    <n v="5"/>
    <n v="0.1515"/>
    <n v="0.16420000000000001"/>
    <x v="4"/>
  </r>
  <r>
    <n v="260"/>
    <d v="2011-01-12T00:00:00"/>
    <n v="1"/>
    <n v="6"/>
    <b v="0"/>
    <n v="3"/>
    <n v="1"/>
    <x v="16"/>
    <x v="1"/>
    <x v="0"/>
    <s v="Morning"/>
    <n v="0.93"/>
    <n v="0"/>
    <n v="16"/>
    <n v="16"/>
    <n v="0.1515"/>
    <n v="0.1343"/>
    <x v="4"/>
  </r>
  <r>
    <n v="261"/>
    <d v="2011-01-12T00:00:00"/>
    <n v="1"/>
    <n v="7"/>
    <b v="0"/>
    <n v="3"/>
    <n v="1"/>
    <x v="14"/>
    <x v="1"/>
    <x v="0"/>
    <s v="Morning"/>
    <n v="0.69"/>
    <n v="0"/>
    <n v="54"/>
    <n v="54"/>
    <n v="0.1515"/>
    <n v="0.1343"/>
    <x v="4"/>
  </r>
  <r>
    <n v="262"/>
    <d v="2011-01-12T00:00:00"/>
    <n v="1"/>
    <n v="8"/>
    <b v="0"/>
    <n v="3"/>
    <n v="1"/>
    <x v="13"/>
    <x v="1"/>
    <x v="0"/>
    <s v="Morning"/>
    <n v="0.59"/>
    <n v="3"/>
    <n v="125"/>
    <n v="128"/>
    <n v="0.16669999999999999"/>
    <n v="0.16420000000000001"/>
    <x v="4"/>
  </r>
  <r>
    <n v="263"/>
    <d v="2011-01-12T00:00:00"/>
    <n v="1"/>
    <n v="9"/>
    <b v="0"/>
    <n v="3"/>
    <n v="1"/>
    <x v="13"/>
    <x v="1"/>
    <x v="0"/>
    <s v="Morning"/>
    <n v="0.59"/>
    <n v="3"/>
    <n v="78"/>
    <n v="81"/>
    <n v="0.13639999999999999"/>
    <n v="0.32840000000000003"/>
    <x v="4"/>
  </r>
  <r>
    <n v="264"/>
    <d v="2011-01-12T00:00:00"/>
    <n v="1"/>
    <n v="10"/>
    <b v="0"/>
    <n v="3"/>
    <n v="1"/>
    <x v="15"/>
    <x v="1"/>
    <x v="0"/>
    <s v="Morning"/>
    <n v="0.55000000000000004"/>
    <n v="0"/>
    <n v="39"/>
    <n v="39"/>
    <n v="0.18179999999999999"/>
    <n v="0.22389999999999999"/>
    <x v="4"/>
  </r>
  <r>
    <n v="265"/>
    <d v="2011-01-12T00:00:00"/>
    <n v="1"/>
    <n v="11"/>
    <b v="0"/>
    <n v="3"/>
    <n v="1"/>
    <x v="2"/>
    <x v="1"/>
    <x v="0"/>
    <s v="Morning"/>
    <n v="0.51"/>
    <n v="3"/>
    <n v="32"/>
    <n v="35"/>
    <n v="0.18179999999999999"/>
    <n v="0.3881"/>
    <x v="4"/>
  </r>
  <r>
    <n v="266"/>
    <d v="2011-01-12T00:00:00"/>
    <n v="1"/>
    <n v="12"/>
    <b v="0"/>
    <n v="3"/>
    <n v="1"/>
    <x v="2"/>
    <x v="1"/>
    <x v="0"/>
    <s v="Afternoon"/>
    <n v="0.47"/>
    <n v="3"/>
    <n v="52"/>
    <n v="55"/>
    <n v="0.1515"/>
    <n v="0.58209999999999995"/>
    <x v="4"/>
  </r>
  <r>
    <n v="267"/>
    <d v="2011-01-12T00:00:00"/>
    <n v="1"/>
    <n v="13"/>
    <b v="0"/>
    <n v="3"/>
    <n v="1"/>
    <x v="1"/>
    <x v="1"/>
    <x v="0"/>
    <s v="Afternoon"/>
    <n v="0.44"/>
    <n v="0"/>
    <n v="49"/>
    <n v="49"/>
    <n v="0.19700000000000001"/>
    <n v="0.35820000000000002"/>
    <x v="4"/>
  </r>
  <r>
    <n v="268"/>
    <d v="2011-01-12T00:00:00"/>
    <n v="1"/>
    <n v="14"/>
    <b v="0"/>
    <n v="3"/>
    <n v="1"/>
    <x v="2"/>
    <x v="1"/>
    <x v="0"/>
    <s v="Afternoon"/>
    <n v="0.47"/>
    <n v="0"/>
    <n v="44"/>
    <n v="44"/>
    <n v="0.18179999999999999"/>
    <n v="0.32840000000000003"/>
    <x v="4"/>
  </r>
  <r>
    <n v="269"/>
    <d v="2011-01-12T00:00:00"/>
    <n v="1"/>
    <n v="15"/>
    <b v="0"/>
    <n v="3"/>
    <n v="1"/>
    <x v="2"/>
    <x v="1"/>
    <x v="0"/>
    <s v="Afternoon"/>
    <n v="0.47"/>
    <n v="1"/>
    <n v="48"/>
    <n v="49"/>
    <n v="0.16669999999999999"/>
    <n v="0.41789999999999999"/>
    <x v="4"/>
  </r>
  <r>
    <n v="270"/>
    <d v="2011-01-12T00:00:00"/>
    <n v="1"/>
    <n v="16"/>
    <b v="0"/>
    <n v="3"/>
    <n v="1"/>
    <x v="1"/>
    <x v="1"/>
    <x v="0"/>
    <s v="Afternoon"/>
    <n v="0.44"/>
    <n v="5"/>
    <n v="63"/>
    <n v="68"/>
    <n v="0.19700000000000001"/>
    <n v="0.32840000000000003"/>
    <x v="4"/>
  </r>
  <r>
    <n v="271"/>
    <d v="2011-01-12T00:00:00"/>
    <n v="1"/>
    <n v="17"/>
    <b v="0"/>
    <n v="3"/>
    <n v="1"/>
    <x v="2"/>
    <x v="1"/>
    <x v="0"/>
    <s v="Evening"/>
    <n v="0.47"/>
    <n v="0"/>
    <n v="139"/>
    <n v="139"/>
    <n v="0.18179999999999999"/>
    <n v="0.35820000000000002"/>
    <x v="4"/>
  </r>
  <r>
    <n v="272"/>
    <d v="2011-01-12T00:00:00"/>
    <n v="1"/>
    <n v="18"/>
    <b v="0"/>
    <n v="3"/>
    <n v="1"/>
    <x v="2"/>
    <x v="1"/>
    <x v="0"/>
    <s v="Evening"/>
    <n v="0.47"/>
    <n v="2"/>
    <n v="135"/>
    <n v="137"/>
    <n v="0.1515"/>
    <n v="0.52239999999999998"/>
    <x v="4"/>
  </r>
  <r>
    <n v="273"/>
    <d v="2011-01-12T00:00:00"/>
    <n v="1"/>
    <n v="19"/>
    <b v="0"/>
    <n v="3"/>
    <n v="1"/>
    <x v="15"/>
    <x v="1"/>
    <x v="0"/>
    <s v="Evening"/>
    <n v="0.47"/>
    <n v="1"/>
    <n v="82"/>
    <n v="83"/>
    <n v="0.1515"/>
    <n v="0.41789999999999999"/>
    <x v="4"/>
  </r>
  <r>
    <n v="274"/>
    <d v="2011-01-12T00:00:00"/>
    <n v="1"/>
    <n v="20"/>
    <b v="0"/>
    <n v="3"/>
    <n v="1"/>
    <x v="13"/>
    <x v="1"/>
    <x v="0"/>
    <s v="Evening"/>
    <n v="0.5"/>
    <n v="2"/>
    <n v="54"/>
    <n v="56"/>
    <n v="0.13639999999999999"/>
    <n v="0.32840000000000003"/>
    <x v="4"/>
  </r>
  <r>
    <n v="275"/>
    <d v="2011-01-12T00:00:00"/>
    <n v="1"/>
    <n v="21"/>
    <b v="0"/>
    <n v="3"/>
    <n v="1"/>
    <x v="13"/>
    <x v="1"/>
    <x v="0"/>
    <s v="Night"/>
    <n v="0.55000000000000004"/>
    <n v="0"/>
    <n v="57"/>
    <n v="57"/>
    <n v="0.13639999999999999"/>
    <n v="0.32840000000000003"/>
    <x v="4"/>
  </r>
  <r>
    <n v="276"/>
    <d v="2011-01-12T00:00:00"/>
    <n v="1"/>
    <n v="22"/>
    <b v="0"/>
    <n v="3"/>
    <n v="1"/>
    <x v="13"/>
    <x v="1"/>
    <x v="0"/>
    <s v="Night"/>
    <n v="0.55000000000000004"/>
    <n v="1"/>
    <n v="32"/>
    <n v="33"/>
    <n v="0.1212"/>
    <n v="0.44779999999999998"/>
    <x v="4"/>
  </r>
  <r>
    <n v="277"/>
    <d v="2011-01-12T00:00:00"/>
    <n v="1"/>
    <n v="23"/>
    <b v="0"/>
    <n v="3"/>
    <n v="1"/>
    <x v="14"/>
    <x v="1"/>
    <x v="0"/>
    <s v="Night"/>
    <n v="0.59"/>
    <n v="1"/>
    <n v="19"/>
    <n v="20"/>
    <n v="0.1061"/>
    <n v="0.41789999999999999"/>
    <x v="4"/>
  </r>
  <r>
    <n v="278"/>
    <d v="2011-01-13T00:00:00"/>
    <n v="1"/>
    <n v="0"/>
    <b v="0"/>
    <n v="4"/>
    <n v="1"/>
    <x v="14"/>
    <x v="1"/>
    <x v="0"/>
    <s v="Morning"/>
    <n v="0.59"/>
    <n v="1"/>
    <n v="6"/>
    <n v="7"/>
    <n v="0.1212"/>
    <n v="0.28360000000000002"/>
    <x v="5"/>
  </r>
  <r>
    <n v="279"/>
    <d v="2011-01-13T00:00:00"/>
    <n v="1"/>
    <n v="1"/>
    <b v="0"/>
    <n v="4"/>
    <n v="1"/>
    <x v="14"/>
    <x v="1"/>
    <x v="0"/>
    <s v="Morning"/>
    <n v="0.5"/>
    <n v="0"/>
    <n v="2"/>
    <n v="2"/>
    <n v="0.1212"/>
    <n v="0.28360000000000002"/>
    <x v="5"/>
  </r>
  <r>
    <n v="280"/>
    <d v="2011-01-13T00:00:00"/>
    <n v="1"/>
    <n v="2"/>
    <b v="0"/>
    <n v="4"/>
    <n v="1"/>
    <x v="14"/>
    <x v="1"/>
    <x v="0"/>
    <s v="Morning"/>
    <n v="0.5"/>
    <n v="0"/>
    <n v="2"/>
    <n v="2"/>
    <n v="0.1212"/>
    <n v="0.35820000000000002"/>
    <x v="5"/>
  </r>
  <r>
    <n v="281"/>
    <d v="2011-01-13T00:00:00"/>
    <n v="1"/>
    <n v="3"/>
    <b v="0"/>
    <n v="4"/>
    <n v="1"/>
    <x v="14"/>
    <x v="1"/>
    <x v="0"/>
    <s v="Morning"/>
    <n v="0.5"/>
    <n v="0"/>
    <n v="3"/>
    <n v="3"/>
    <n v="0.1212"/>
    <n v="0.32840000000000003"/>
    <x v="5"/>
  </r>
  <r>
    <n v="282"/>
    <d v="2011-01-13T00:00:00"/>
    <n v="1"/>
    <n v="4"/>
    <b v="0"/>
    <n v="4"/>
    <n v="1"/>
    <x v="14"/>
    <x v="1"/>
    <x v="0"/>
    <s v="Morning"/>
    <n v="0.5"/>
    <n v="0"/>
    <n v="4"/>
    <n v="4"/>
    <n v="0.1212"/>
    <n v="0.25369999999999998"/>
    <x v="5"/>
  </r>
  <r>
    <n v="283"/>
    <d v="2011-01-13T00:00:00"/>
    <n v="1"/>
    <n v="5"/>
    <b v="0"/>
    <n v="4"/>
    <n v="1"/>
    <x v="14"/>
    <x v="1"/>
    <x v="0"/>
    <s v="Morning"/>
    <n v="0.5"/>
    <n v="0"/>
    <n v="3"/>
    <n v="3"/>
    <n v="0.1212"/>
    <n v="0.29849999999999999"/>
    <x v="5"/>
  </r>
  <r>
    <n v="284"/>
    <d v="2011-01-13T00:00:00"/>
    <n v="1"/>
    <n v="6"/>
    <b v="0"/>
    <n v="4"/>
    <n v="1"/>
    <x v="16"/>
    <x v="1"/>
    <x v="0"/>
    <s v="Morning"/>
    <n v="0.54"/>
    <n v="0"/>
    <n v="28"/>
    <n v="28"/>
    <n v="0.1515"/>
    <n v="0.1343"/>
    <x v="5"/>
  </r>
  <r>
    <n v="285"/>
    <d v="2011-01-13T00:00:00"/>
    <n v="1"/>
    <n v="7"/>
    <b v="0"/>
    <n v="4"/>
    <n v="1"/>
    <x v="16"/>
    <x v="1"/>
    <x v="0"/>
    <s v="Morning"/>
    <n v="0.54"/>
    <n v="0"/>
    <n v="72"/>
    <n v="72"/>
    <n v="0.1515"/>
    <n v="0.1343"/>
    <x v="5"/>
  </r>
  <r>
    <n v="286"/>
    <d v="2011-01-13T00:00:00"/>
    <n v="1"/>
    <n v="8"/>
    <b v="0"/>
    <n v="4"/>
    <n v="1"/>
    <x v="14"/>
    <x v="1"/>
    <x v="0"/>
    <s v="Morning"/>
    <n v="0.5"/>
    <n v="5"/>
    <n v="197"/>
    <n v="202"/>
    <n v="0.13639999999999999"/>
    <n v="0.19400000000000001"/>
    <x v="5"/>
  </r>
  <r>
    <n v="287"/>
    <d v="2011-01-13T00:00:00"/>
    <n v="1"/>
    <n v="9"/>
    <b v="0"/>
    <n v="4"/>
    <n v="1"/>
    <x v="14"/>
    <x v="1"/>
    <x v="0"/>
    <s v="Morning"/>
    <n v="0.5"/>
    <n v="2"/>
    <n v="137"/>
    <n v="139"/>
    <n v="0.1212"/>
    <n v="0.32840000000000003"/>
    <x v="5"/>
  </r>
  <r>
    <n v="288"/>
    <d v="2011-01-13T00:00:00"/>
    <n v="1"/>
    <n v="10"/>
    <b v="0"/>
    <n v="4"/>
    <n v="2"/>
    <x v="13"/>
    <x v="1"/>
    <x v="1"/>
    <s v="Morning"/>
    <n v="0.5"/>
    <n v="2"/>
    <n v="36"/>
    <n v="38"/>
    <n v="0.13639999999999999"/>
    <n v="0.35820000000000002"/>
    <x v="5"/>
  </r>
  <r>
    <n v="289"/>
    <d v="2011-01-13T00:00:00"/>
    <n v="1"/>
    <n v="11"/>
    <b v="0"/>
    <n v="4"/>
    <n v="2"/>
    <x v="2"/>
    <x v="1"/>
    <x v="1"/>
    <s v="Morning"/>
    <n v="0.44"/>
    <n v="4"/>
    <n v="33"/>
    <n v="37"/>
    <n v="0.16669999999999999"/>
    <n v="0.44779999999999998"/>
    <x v="5"/>
  </r>
  <r>
    <n v="290"/>
    <d v="2011-01-13T00:00:00"/>
    <n v="1"/>
    <n v="12"/>
    <b v="0"/>
    <n v="4"/>
    <n v="1"/>
    <x v="2"/>
    <x v="1"/>
    <x v="0"/>
    <s v="Afternoon"/>
    <n v="0.44"/>
    <n v="3"/>
    <n v="49"/>
    <n v="52"/>
    <n v="0.16669999999999999"/>
    <n v="0.41789999999999999"/>
    <x v="5"/>
  </r>
  <r>
    <n v="291"/>
    <d v="2011-01-13T00:00:00"/>
    <n v="1"/>
    <n v="13"/>
    <b v="0"/>
    <n v="4"/>
    <n v="1"/>
    <x v="1"/>
    <x v="1"/>
    <x v="0"/>
    <s v="Afternoon"/>
    <n v="0.41"/>
    <n v="2"/>
    <n v="81"/>
    <n v="83"/>
    <n v="0.19700000000000001"/>
    <n v="0.44779999999999998"/>
    <x v="5"/>
  </r>
  <r>
    <n v="292"/>
    <d v="2011-01-13T00:00:00"/>
    <n v="1"/>
    <n v="14"/>
    <b v="0"/>
    <n v="4"/>
    <n v="1"/>
    <x v="1"/>
    <x v="1"/>
    <x v="0"/>
    <s v="Afternoon"/>
    <n v="0.41"/>
    <n v="3"/>
    <n v="39"/>
    <n v="42"/>
    <n v="0.19700000000000001"/>
    <n v="0.3881"/>
    <x v="5"/>
  </r>
  <r>
    <n v="293"/>
    <d v="2011-01-13T00:00:00"/>
    <n v="1"/>
    <n v="15"/>
    <b v="0"/>
    <n v="4"/>
    <n v="1"/>
    <x v="0"/>
    <x v="1"/>
    <x v="0"/>
    <s v="Afternoon"/>
    <n v="0.38"/>
    <n v="5"/>
    <n v="55"/>
    <n v="60"/>
    <n v="0.21210000000000001"/>
    <n v="0.29849999999999999"/>
    <x v="5"/>
  </r>
  <r>
    <n v="294"/>
    <d v="2011-01-13T00:00:00"/>
    <n v="1"/>
    <n v="16"/>
    <b v="0"/>
    <n v="4"/>
    <n v="1"/>
    <x v="0"/>
    <x v="1"/>
    <x v="0"/>
    <s v="Afternoon"/>
    <n v="0.38"/>
    <n v="2"/>
    <n v="76"/>
    <n v="78"/>
    <n v="0.21210000000000001"/>
    <n v="0.35820000000000002"/>
    <x v="5"/>
  </r>
  <r>
    <n v="295"/>
    <d v="2011-01-13T00:00:00"/>
    <n v="1"/>
    <n v="17"/>
    <b v="0"/>
    <n v="4"/>
    <n v="1"/>
    <x v="2"/>
    <x v="1"/>
    <x v="0"/>
    <s v="Evening"/>
    <n v="0.4"/>
    <n v="4"/>
    <n v="158"/>
    <n v="162"/>
    <n v="0.18179999999999999"/>
    <n v="0.28360000000000002"/>
    <x v="5"/>
  </r>
  <r>
    <n v="296"/>
    <d v="2011-01-13T00:00:00"/>
    <n v="1"/>
    <n v="18"/>
    <b v="0"/>
    <n v="4"/>
    <n v="1"/>
    <x v="2"/>
    <x v="1"/>
    <x v="0"/>
    <s v="Evening"/>
    <n v="0.4"/>
    <n v="3"/>
    <n v="141"/>
    <n v="144"/>
    <n v="0.18179999999999999"/>
    <n v="0.32840000000000003"/>
    <x v="5"/>
  </r>
  <r>
    <n v="297"/>
    <d v="2011-01-13T00:00:00"/>
    <n v="1"/>
    <n v="19"/>
    <b v="0"/>
    <n v="4"/>
    <n v="1"/>
    <x v="13"/>
    <x v="1"/>
    <x v="0"/>
    <s v="Evening"/>
    <n v="0.47"/>
    <n v="1"/>
    <n v="98"/>
    <n v="99"/>
    <n v="0.1515"/>
    <n v="0.25369999999999998"/>
    <x v="5"/>
  </r>
  <r>
    <n v="298"/>
    <d v="2011-01-13T00:00:00"/>
    <n v="1"/>
    <n v="20"/>
    <b v="0"/>
    <n v="4"/>
    <n v="1"/>
    <x v="13"/>
    <x v="1"/>
    <x v="0"/>
    <s v="Evening"/>
    <n v="0.47"/>
    <n v="0"/>
    <n v="64"/>
    <n v="64"/>
    <n v="0.1515"/>
    <n v="0.22389999999999999"/>
    <x v="5"/>
  </r>
  <r>
    <n v="299"/>
    <d v="2011-01-13T00:00:00"/>
    <n v="1"/>
    <n v="21"/>
    <b v="0"/>
    <n v="4"/>
    <n v="1"/>
    <x v="14"/>
    <x v="1"/>
    <x v="0"/>
    <s v="Night"/>
    <n v="0.46"/>
    <n v="0"/>
    <n v="40"/>
    <n v="40"/>
    <n v="0.1212"/>
    <n v="0.29849999999999999"/>
    <x v="5"/>
  </r>
  <r>
    <n v="300"/>
    <d v="2011-01-13T00:00:00"/>
    <n v="1"/>
    <n v="22"/>
    <b v="0"/>
    <n v="4"/>
    <n v="1"/>
    <x v="14"/>
    <x v="1"/>
    <x v="0"/>
    <s v="Night"/>
    <n v="0.46"/>
    <n v="0"/>
    <n v="30"/>
    <n v="30"/>
    <n v="0.1212"/>
    <n v="0.32840000000000003"/>
    <x v="5"/>
  </r>
  <r>
    <n v="301"/>
    <d v="2011-01-13T00:00:00"/>
    <n v="1"/>
    <n v="23"/>
    <b v="0"/>
    <n v="4"/>
    <n v="1"/>
    <x v="16"/>
    <x v="1"/>
    <x v="0"/>
    <s v="Night"/>
    <n v="0.5"/>
    <n v="1"/>
    <n v="14"/>
    <n v="15"/>
    <n v="0.13639999999999999"/>
    <n v="0.19400000000000001"/>
    <x v="5"/>
  </r>
  <r>
    <n v="302"/>
    <d v="2011-01-14T00:00:00"/>
    <n v="1"/>
    <n v="0"/>
    <b v="0"/>
    <n v="5"/>
    <n v="1"/>
    <x v="16"/>
    <x v="1"/>
    <x v="0"/>
    <s v="Morning"/>
    <n v="0.5"/>
    <n v="0"/>
    <n v="14"/>
    <n v="14"/>
    <n v="0.13639999999999999"/>
    <n v="0.19400000000000001"/>
    <x v="6"/>
  </r>
  <r>
    <n v="303"/>
    <d v="2011-01-14T00:00:00"/>
    <n v="1"/>
    <n v="1"/>
    <b v="0"/>
    <n v="5"/>
    <n v="1"/>
    <x v="18"/>
    <x v="1"/>
    <x v="0"/>
    <s v="Morning"/>
    <n v="0.54"/>
    <n v="0"/>
    <n v="5"/>
    <n v="5"/>
    <n v="0.1212"/>
    <n v="0.16420000000000001"/>
    <x v="6"/>
  </r>
  <r>
    <n v="304"/>
    <d v="2011-01-14T00:00:00"/>
    <n v="1"/>
    <n v="2"/>
    <b v="0"/>
    <n v="5"/>
    <n v="1"/>
    <x v="18"/>
    <x v="1"/>
    <x v="0"/>
    <s v="Morning"/>
    <n v="0.54"/>
    <n v="0"/>
    <n v="1"/>
    <n v="1"/>
    <n v="0.1212"/>
    <n v="0.1343"/>
    <x v="6"/>
  </r>
  <r>
    <n v="305"/>
    <d v="2011-01-14T00:00:00"/>
    <n v="1"/>
    <n v="3"/>
    <b v="0"/>
    <n v="5"/>
    <n v="1"/>
    <x v="18"/>
    <x v="1"/>
    <x v="0"/>
    <s v="Morning"/>
    <n v="0.54"/>
    <n v="0"/>
    <n v="1"/>
    <n v="1"/>
    <n v="0.13639999999999999"/>
    <n v="0.1045"/>
    <x v="6"/>
  </r>
  <r>
    <n v="306"/>
    <d v="2011-01-14T00:00:00"/>
    <n v="1"/>
    <n v="5"/>
    <b v="0"/>
    <n v="5"/>
    <n v="1"/>
    <x v="18"/>
    <x v="1"/>
    <x v="0"/>
    <s v="Morning"/>
    <n v="0.54"/>
    <n v="0"/>
    <n v="8"/>
    <n v="8"/>
    <n v="0.13639999999999999"/>
    <n v="8.9599999999999999E-2"/>
    <x v="6"/>
  </r>
  <r>
    <n v="307"/>
    <d v="2011-01-14T00:00:00"/>
    <n v="1"/>
    <n v="6"/>
    <b v="0"/>
    <n v="5"/>
    <n v="1"/>
    <x v="18"/>
    <x v="1"/>
    <x v="0"/>
    <s v="Morning"/>
    <n v="0.54"/>
    <n v="0"/>
    <n v="17"/>
    <n v="17"/>
    <n v="0.18179999999999999"/>
    <n v="0"/>
    <x v="6"/>
  </r>
  <r>
    <n v="308"/>
    <d v="2011-01-14T00:00:00"/>
    <n v="1"/>
    <n v="7"/>
    <b v="0"/>
    <n v="5"/>
    <n v="1"/>
    <x v="18"/>
    <x v="1"/>
    <x v="0"/>
    <s v="Morning"/>
    <n v="0.74"/>
    <n v="0"/>
    <n v="70"/>
    <n v="70"/>
    <n v="0.1212"/>
    <n v="0.16420000000000001"/>
    <x v="6"/>
  </r>
  <r>
    <n v="309"/>
    <d v="2011-01-14T00:00:00"/>
    <n v="1"/>
    <n v="8"/>
    <b v="0"/>
    <n v="5"/>
    <n v="1"/>
    <x v="16"/>
    <x v="1"/>
    <x v="0"/>
    <s v="Morning"/>
    <n v="0.68"/>
    <n v="2"/>
    <n v="156"/>
    <n v="158"/>
    <n v="0.16669999999999999"/>
    <n v="0"/>
    <x v="6"/>
  </r>
  <r>
    <n v="310"/>
    <d v="2011-01-14T00:00:00"/>
    <n v="1"/>
    <n v="9"/>
    <b v="0"/>
    <n v="5"/>
    <n v="1"/>
    <x v="14"/>
    <x v="1"/>
    <x v="0"/>
    <s v="Morning"/>
    <n v="0.69"/>
    <n v="0"/>
    <n v="117"/>
    <n v="117"/>
    <n v="0.1515"/>
    <n v="0.1343"/>
    <x v="6"/>
  </r>
  <r>
    <n v="311"/>
    <d v="2011-01-14T00:00:00"/>
    <n v="1"/>
    <n v="10"/>
    <b v="0"/>
    <n v="5"/>
    <n v="1"/>
    <x v="15"/>
    <x v="1"/>
    <x v="0"/>
    <s v="Morning"/>
    <n v="0.55000000000000004"/>
    <n v="4"/>
    <n v="40"/>
    <n v="44"/>
    <n v="0.18179999999999999"/>
    <n v="0.19400000000000001"/>
    <x v="6"/>
  </r>
  <r>
    <n v="312"/>
    <d v="2011-01-14T00:00:00"/>
    <n v="1"/>
    <n v="11"/>
    <b v="0"/>
    <n v="5"/>
    <n v="1"/>
    <x v="15"/>
    <x v="1"/>
    <x v="0"/>
    <s v="Morning"/>
    <n v="0.51"/>
    <n v="6"/>
    <n v="47"/>
    <n v="53"/>
    <n v="0.16669999999999999"/>
    <n v="0.28360000000000002"/>
    <x v="6"/>
  </r>
  <r>
    <n v="313"/>
    <d v="2011-01-14T00:00:00"/>
    <n v="1"/>
    <n v="12"/>
    <b v="0"/>
    <n v="5"/>
    <n v="1"/>
    <x v="2"/>
    <x v="1"/>
    <x v="0"/>
    <s v="Afternoon"/>
    <n v="0.44"/>
    <n v="2"/>
    <n v="59"/>
    <n v="61"/>
    <n v="0.19700000000000001"/>
    <n v="0.25369999999999998"/>
    <x v="6"/>
  </r>
  <r>
    <n v="314"/>
    <d v="2011-01-14T00:00:00"/>
    <n v="1"/>
    <n v="13"/>
    <b v="0"/>
    <n v="5"/>
    <n v="1"/>
    <x v="1"/>
    <x v="1"/>
    <x v="0"/>
    <s v="Afternoon"/>
    <n v="0.37"/>
    <n v="4"/>
    <n v="73"/>
    <n v="77"/>
    <n v="0.19700000000000001"/>
    <n v="0.3881"/>
    <x v="6"/>
  </r>
  <r>
    <n v="315"/>
    <d v="2011-01-14T00:00:00"/>
    <n v="1"/>
    <n v="14"/>
    <b v="0"/>
    <n v="5"/>
    <n v="1"/>
    <x v="1"/>
    <x v="1"/>
    <x v="0"/>
    <s v="Afternoon"/>
    <n v="0.41"/>
    <n v="5"/>
    <n v="59"/>
    <n v="64"/>
    <n v="0.21210000000000001"/>
    <n v="0.28360000000000002"/>
    <x v="6"/>
  </r>
  <r>
    <n v="316"/>
    <d v="2011-01-14T00:00:00"/>
    <n v="1"/>
    <n v="15"/>
    <b v="0"/>
    <n v="5"/>
    <n v="1"/>
    <x v="0"/>
    <x v="1"/>
    <x v="0"/>
    <s v="Afternoon"/>
    <n v="0.38"/>
    <n v="9"/>
    <n v="59"/>
    <n v="68"/>
    <n v="0.2424"/>
    <n v="0.16420000000000001"/>
    <x v="6"/>
  </r>
  <r>
    <n v="317"/>
    <d v="2011-01-14T00:00:00"/>
    <n v="1"/>
    <n v="16"/>
    <b v="0"/>
    <n v="5"/>
    <n v="1"/>
    <x v="1"/>
    <x v="1"/>
    <x v="0"/>
    <s v="Afternoon"/>
    <n v="0.41"/>
    <n v="3"/>
    <n v="87"/>
    <n v="90"/>
    <n v="0.2424"/>
    <n v="0.1045"/>
    <x v="6"/>
  </r>
  <r>
    <n v="318"/>
    <d v="2011-01-14T00:00:00"/>
    <n v="1"/>
    <n v="17"/>
    <b v="0"/>
    <n v="5"/>
    <n v="1"/>
    <x v="1"/>
    <x v="1"/>
    <x v="0"/>
    <s v="Evening"/>
    <n v="0.41"/>
    <n v="4"/>
    <n v="155"/>
    <n v="159"/>
    <n v="0.2273"/>
    <n v="0.16420000000000001"/>
    <x v="6"/>
  </r>
  <r>
    <n v="319"/>
    <d v="2011-01-14T00:00:00"/>
    <n v="1"/>
    <n v="18"/>
    <b v="0"/>
    <n v="5"/>
    <n v="1"/>
    <x v="2"/>
    <x v="1"/>
    <x v="0"/>
    <s v="Evening"/>
    <n v="0.47"/>
    <n v="5"/>
    <n v="134"/>
    <n v="139"/>
    <n v="0.2576"/>
    <n v="0"/>
    <x v="6"/>
  </r>
  <r>
    <n v="320"/>
    <d v="2011-01-14T00:00:00"/>
    <n v="1"/>
    <n v="19"/>
    <b v="0"/>
    <n v="5"/>
    <n v="1"/>
    <x v="13"/>
    <x v="1"/>
    <x v="0"/>
    <s v="Evening"/>
    <n v="0.59"/>
    <n v="3"/>
    <n v="89"/>
    <n v="92"/>
    <n v="0.19700000000000001"/>
    <n v="8.9599999999999999E-2"/>
    <x v="6"/>
  </r>
  <r>
    <n v="321"/>
    <d v="2011-01-14T00:00:00"/>
    <n v="1"/>
    <n v="20"/>
    <b v="0"/>
    <n v="5"/>
    <n v="1"/>
    <x v="15"/>
    <x v="1"/>
    <x v="0"/>
    <s v="Evening"/>
    <n v="0.59"/>
    <n v="0"/>
    <n v="68"/>
    <n v="68"/>
    <n v="0.2424"/>
    <n v="0"/>
    <x v="6"/>
  </r>
  <r>
    <n v="322"/>
    <d v="2011-01-14T00:00:00"/>
    <n v="1"/>
    <n v="21"/>
    <b v="0"/>
    <n v="5"/>
    <n v="1"/>
    <x v="13"/>
    <x v="1"/>
    <x v="0"/>
    <s v="Night"/>
    <n v="0.69"/>
    <n v="4"/>
    <n v="48"/>
    <n v="52"/>
    <n v="0.2273"/>
    <n v="0"/>
    <x v="6"/>
  </r>
  <r>
    <n v="323"/>
    <d v="2011-01-14T00:00:00"/>
    <n v="1"/>
    <n v="22"/>
    <b v="0"/>
    <n v="5"/>
    <n v="2"/>
    <x v="13"/>
    <x v="1"/>
    <x v="1"/>
    <s v="Night"/>
    <n v="0.69"/>
    <n v="2"/>
    <n v="34"/>
    <n v="36"/>
    <n v="0.2273"/>
    <n v="0"/>
    <x v="6"/>
  </r>
  <r>
    <n v="324"/>
    <d v="2011-01-14T00:00:00"/>
    <n v="1"/>
    <n v="23"/>
    <b v="0"/>
    <n v="5"/>
    <n v="2"/>
    <x v="15"/>
    <x v="1"/>
    <x v="1"/>
    <s v="Night"/>
    <n v="0.55000000000000004"/>
    <n v="1"/>
    <n v="26"/>
    <n v="27"/>
    <n v="0.2424"/>
    <n v="0"/>
    <x v="6"/>
  </r>
  <r>
    <n v="325"/>
    <d v="2011-01-15T00:00:00"/>
    <n v="1"/>
    <n v="0"/>
    <b v="0"/>
    <n v="6"/>
    <n v="1"/>
    <x v="15"/>
    <x v="0"/>
    <x v="0"/>
    <s v="Morning"/>
    <n v="0.55000000000000004"/>
    <n v="3"/>
    <n v="25"/>
    <n v="28"/>
    <n v="0.2424"/>
    <n v="0"/>
    <x v="0"/>
  </r>
  <r>
    <n v="326"/>
    <d v="2011-01-15T00:00:00"/>
    <n v="1"/>
    <n v="1"/>
    <b v="0"/>
    <n v="6"/>
    <n v="2"/>
    <x v="13"/>
    <x v="0"/>
    <x v="1"/>
    <s v="Morning"/>
    <n v="0.59"/>
    <n v="2"/>
    <n v="18"/>
    <n v="20"/>
    <n v="0.19700000000000001"/>
    <n v="8.9599999999999999E-2"/>
    <x v="0"/>
  </r>
  <r>
    <n v="327"/>
    <d v="2011-01-15T00:00:00"/>
    <n v="1"/>
    <n v="2"/>
    <b v="0"/>
    <n v="6"/>
    <n v="2"/>
    <x v="13"/>
    <x v="0"/>
    <x v="1"/>
    <s v="Morning"/>
    <n v="0.59"/>
    <n v="0"/>
    <n v="12"/>
    <n v="12"/>
    <n v="0.19700000000000001"/>
    <n v="8.9599999999999999E-2"/>
    <x v="0"/>
  </r>
  <r>
    <n v="328"/>
    <d v="2011-01-15T00:00:00"/>
    <n v="1"/>
    <n v="3"/>
    <b v="0"/>
    <n v="6"/>
    <n v="2"/>
    <x v="13"/>
    <x v="0"/>
    <x v="1"/>
    <s v="Morning"/>
    <n v="0.59"/>
    <n v="1"/>
    <n v="7"/>
    <n v="8"/>
    <n v="0.2273"/>
    <n v="0"/>
    <x v="0"/>
  </r>
  <r>
    <n v="329"/>
    <d v="2011-01-15T00:00:00"/>
    <n v="1"/>
    <n v="4"/>
    <b v="0"/>
    <n v="6"/>
    <n v="2"/>
    <x v="13"/>
    <x v="0"/>
    <x v="1"/>
    <s v="Morning"/>
    <n v="0.59"/>
    <n v="0"/>
    <n v="5"/>
    <n v="5"/>
    <n v="0.2273"/>
    <n v="0"/>
    <x v="0"/>
  </r>
  <r>
    <n v="330"/>
    <d v="2011-01-15T00:00:00"/>
    <n v="1"/>
    <n v="5"/>
    <b v="0"/>
    <n v="6"/>
    <n v="1"/>
    <x v="13"/>
    <x v="0"/>
    <x v="0"/>
    <s v="Morning"/>
    <n v="0.59"/>
    <n v="0"/>
    <n v="1"/>
    <n v="1"/>
    <n v="0.2273"/>
    <n v="0"/>
    <x v="0"/>
  </r>
  <r>
    <n v="331"/>
    <d v="2011-01-15T00:00:00"/>
    <n v="1"/>
    <n v="6"/>
    <b v="0"/>
    <n v="6"/>
    <n v="1"/>
    <x v="14"/>
    <x v="0"/>
    <x v="0"/>
    <s v="Morning"/>
    <n v="0.63"/>
    <n v="1"/>
    <n v="2"/>
    <n v="3"/>
    <n v="0.16669999999999999"/>
    <n v="0.1045"/>
    <x v="0"/>
  </r>
  <r>
    <n v="332"/>
    <d v="2011-01-15T00:00:00"/>
    <n v="1"/>
    <n v="7"/>
    <b v="0"/>
    <n v="6"/>
    <n v="1"/>
    <x v="14"/>
    <x v="0"/>
    <x v="0"/>
    <s v="Morning"/>
    <n v="0.63"/>
    <n v="1"/>
    <n v="9"/>
    <n v="10"/>
    <n v="0.21210000000000001"/>
    <n v="0"/>
    <x v="0"/>
  </r>
  <r>
    <n v="333"/>
    <d v="2011-01-15T00:00:00"/>
    <n v="1"/>
    <n v="8"/>
    <b v="0"/>
    <n v="6"/>
    <n v="1"/>
    <x v="14"/>
    <x v="0"/>
    <x v="0"/>
    <s v="Morning"/>
    <n v="0.63"/>
    <n v="1"/>
    <n v="22"/>
    <n v="23"/>
    <n v="0.1515"/>
    <n v="0.1343"/>
    <x v="0"/>
  </r>
  <r>
    <n v="334"/>
    <d v="2011-01-15T00:00:00"/>
    <n v="1"/>
    <n v="9"/>
    <b v="0"/>
    <n v="6"/>
    <n v="1"/>
    <x v="13"/>
    <x v="0"/>
    <x v="0"/>
    <s v="Morning"/>
    <n v="0.64"/>
    <n v="2"/>
    <n v="31"/>
    <n v="33"/>
    <n v="0.18179999999999999"/>
    <n v="0.1343"/>
    <x v="0"/>
  </r>
  <r>
    <n v="335"/>
    <d v="2011-01-15T00:00:00"/>
    <n v="1"/>
    <n v="10"/>
    <b v="0"/>
    <n v="6"/>
    <n v="1"/>
    <x v="15"/>
    <x v="0"/>
    <x v="0"/>
    <s v="Morning"/>
    <n v="0.59"/>
    <n v="2"/>
    <n v="57"/>
    <n v="59"/>
    <n v="0.19700000000000001"/>
    <n v="0.16420000000000001"/>
    <x v="0"/>
  </r>
  <r>
    <n v="336"/>
    <d v="2011-01-15T00:00:00"/>
    <n v="1"/>
    <n v="11"/>
    <b v="0"/>
    <n v="6"/>
    <n v="1"/>
    <x v="2"/>
    <x v="0"/>
    <x v="0"/>
    <s v="Morning"/>
    <n v="0.55000000000000004"/>
    <n v="18"/>
    <n v="54"/>
    <n v="72"/>
    <n v="0.19700000000000001"/>
    <n v="0.22389999999999999"/>
    <x v="0"/>
  </r>
  <r>
    <n v="337"/>
    <d v="2011-01-15T00:00:00"/>
    <n v="1"/>
    <n v="12"/>
    <b v="0"/>
    <n v="6"/>
    <n v="1"/>
    <x v="0"/>
    <x v="0"/>
    <x v="0"/>
    <s v="Afternoon"/>
    <n v="0.48"/>
    <n v="15"/>
    <n v="74"/>
    <n v="89"/>
    <n v="0.2273"/>
    <n v="0.22389999999999999"/>
    <x v="0"/>
  </r>
  <r>
    <n v="338"/>
    <d v="2011-01-15T00:00:00"/>
    <n v="1"/>
    <n v="13"/>
    <b v="0"/>
    <n v="6"/>
    <n v="1"/>
    <x v="17"/>
    <x v="0"/>
    <x v="0"/>
    <s v="Afternoon"/>
    <n v="0.38"/>
    <n v="21"/>
    <n v="80"/>
    <n v="101"/>
    <n v="0.2576"/>
    <n v="0.29849999999999999"/>
    <x v="0"/>
  </r>
  <r>
    <n v="339"/>
    <d v="2011-01-15T00:00:00"/>
    <n v="1"/>
    <n v="14"/>
    <b v="0"/>
    <n v="6"/>
    <n v="1"/>
    <x v="11"/>
    <x v="0"/>
    <x v="0"/>
    <s v="Afternoon"/>
    <n v="0.39"/>
    <n v="26"/>
    <n v="92"/>
    <n v="118"/>
    <n v="0.28789999999999999"/>
    <n v="0.28360000000000002"/>
    <x v="0"/>
  </r>
  <r>
    <n v="340"/>
    <d v="2011-01-15T00:00:00"/>
    <n v="1"/>
    <n v="15"/>
    <b v="0"/>
    <n v="6"/>
    <n v="2"/>
    <x v="3"/>
    <x v="0"/>
    <x v="1"/>
    <s v="Afternoon"/>
    <n v="0.36"/>
    <n v="21"/>
    <n v="108"/>
    <n v="129"/>
    <n v="0.31819999999999998"/>
    <n v="0.19400000000000001"/>
    <x v="0"/>
  </r>
  <r>
    <n v="341"/>
    <d v="2011-01-15T00:00:00"/>
    <n v="1"/>
    <n v="16"/>
    <b v="0"/>
    <n v="6"/>
    <n v="2"/>
    <x v="10"/>
    <x v="0"/>
    <x v="1"/>
    <s v="Afternoon"/>
    <n v="0.34"/>
    <n v="33"/>
    <n v="95"/>
    <n v="128"/>
    <n v="0.33329999999999999"/>
    <n v="0.19400000000000001"/>
    <x v="0"/>
  </r>
  <r>
    <n v="342"/>
    <d v="2011-01-15T00:00:00"/>
    <n v="1"/>
    <n v="17"/>
    <b v="0"/>
    <n v="6"/>
    <n v="2"/>
    <x v="3"/>
    <x v="0"/>
    <x v="1"/>
    <s v="Evening"/>
    <n v="0.36"/>
    <n v="29"/>
    <n v="54"/>
    <n v="83"/>
    <n v="0.30299999999999999"/>
    <n v="0.28360000000000002"/>
    <x v="0"/>
  </r>
  <r>
    <n v="343"/>
    <d v="2011-01-15T00:00:00"/>
    <n v="1"/>
    <n v="18"/>
    <b v="0"/>
    <n v="6"/>
    <n v="2"/>
    <x v="11"/>
    <x v="0"/>
    <x v="1"/>
    <s v="Evening"/>
    <n v="0.45"/>
    <n v="15"/>
    <n v="69"/>
    <n v="84"/>
    <n v="0.28789999999999999"/>
    <n v="0.25369999999999998"/>
    <x v="0"/>
  </r>
  <r>
    <n v="344"/>
    <d v="2011-01-15T00:00:00"/>
    <n v="1"/>
    <n v="19"/>
    <b v="0"/>
    <n v="6"/>
    <n v="2"/>
    <x v="3"/>
    <x v="0"/>
    <x v="1"/>
    <s v="Evening"/>
    <n v="0.39"/>
    <n v="14"/>
    <n v="60"/>
    <n v="74"/>
    <n v="0.30299999999999999"/>
    <n v="0.25369999999999998"/>
    <x v="0"/>
  </r>
  <r>
    <n v="345"/>
    <d v="2011-01-15T00:00:00"/>
    <n v="1"/>
    <n v="20"/>
    <b v="0"/>
    <n v="6"/>
    <n v="2"/>
    <x v="3"/>
    <x v="0"/>
    <x v="1"/>
    <s v="Evening"/>
    <n v="0.39"/>
    <n v="6"/>
    <n v="35"/>
    <n v="41"/>
    <n v="0.30299999999999999"/>
    <n v="0.25369999999999998"/>
    <x v="0"/>
  </r>
  <r>
    <n v="346"/>
    <d v="2011-01-15T00:00:00"/>
    <n v="1"/>
    <n v="21"/>
    <b v="0"/>
    <n v="6"/>
    <n v="2"/>
    <x v="3"/>
    <x v="0"/>
    <x v="1"/>
    <s v="Night"/>
    <n v="0.39"/>
    <n v="6"/>
    <n v="51"/>
    <n v="57"/>
    <n v="0.30299999999999999"/>
    <n v="0.22389999999999999"/>
    <x v="0"/>
  </r>
  <r>
    <n v="347"/>
    <d v="2011-01-15T00:00:00"/>
    <n v="1"/>
    <n v="22"/>
    <b v="0"/>
    <n v="6"/>
    <n v="2"/>
    <x v="11"/>
    <x v="0"/>
    <x v="1"/>
    <s v="Night"/>
    <n v="0.42"/>
    <n v="0"/>
    <n v="26"/>
    <n v="26"/>
    <n v="0.31819999999999998"/>
    <n v="0.1045"/>
    <x v="0"/>
  </r>
  <r>
    <n v="348"/>
    <d v="2011-01-15T00:00:00"/>
    <n v="1"/>
    <n v="23"/>
    <b v="0"/>
    <n v="6"/>
    <n v="1"/>
    <x v="11"/>
    <x v="0"/>
    <x v="0"/>
    <s v="Night"/>
    <n v="0.45"/>
    <n v="5"/>
    <n v="39"/>
    <n v="44"/>
    <n v="0.28789999999999999"/>
    <n v="0.28360000000000002"/>
    <x v="0"/>
  </r>
  <r>
    <n v="349"/>
    <d v="2011-01-16T00:00:00"/>
    <n v="1"/>
    <n v="0"/>
    <b v="0"/>
    <n v="0"/>
    <n v="1"/>
    <x v="12"/>
    <x v="1"/>
    <x v="0"/>
    <s v="Morning"/>
    <n v="0.56000000000000005"/>
    <n v="6"/>
    <n v="33"/>
    <n v="39"/>
    <n v="0.30299999999999999"/>
    <n v="0"/>
    <x v="1"/>
  </r>
  <r>
    <n v="350"/>
    <d v="2011-01-16T00:00:00"/>
    <n v="1"/>
    <n v="1"/>
    <b v="0"/>
    <n v="0"/>
    <n v="1"/>
    <x v="12"/>
    <x v="1"/>
    <x v="0"/>
    <s v="Morning"/>
    <n v="0.56000000000000005"/>
    <n v="4"/>
    <n v="19"/>
    <n v="23"/>
    <n v="0.2727"/>
    <n v="0.1343"/>
    <x v="1"/>
  </r>
  <r>
    <n v="351"/>
    <d v="2011-01-16T00:00:00"/>
    <n v="1"/>
    <n v="2"/>
    <b v="0"/>
    <n v="0"/>
    <n v="1"/>
    <x v="12"/>
    <x v="1"/>
    <x v="0"/>
    <s v="Morning"/>
    <n v="0.56000000000000005"/>
    <n v="3"/>
    <n v="13"/>
    <n v="16"/>
    <n v="0.28789999999999999"/>
    <n v="8.9599999999999999E-2"/>
    <x v="1"/>
  </r>
  <r>
    <n v="352"/>
    <d v="2011-01-16T00:00:00"/>
    <n v="1"/>
    <n v="3"/>
    <b v="0"/>
    <n v="0"/>
    <n v="1"/>
    <x v="1"/>
    <x v="1"/>
    <x v="0"/>
    <s v="Morning"/>
    <n v="0.69"/>
    <n v="9"/>
    <n v="6"/>
    <n v="15"/>
    <n v="0.2727"/>
    <n v="0"/>
    <x v="1"/>
  </r>
  <r>
    <n v="353"/>
    <d v="2011-01-16T00:00:00"/>
    <n v="1"/>
    <n v="4"/>
    <b v="0"/>
    <n v="0"/>
    <n v="1"/>
    <x v="12"/>
    <x v="1"/>
    <x v="0"/>
    <s v="Morning"/>
    <n v="0.56000000000000005"/>
    <n v="0"/>
    <n v="1"/>
    <n v="1"/>
    <n v="0.2576"/>
    <n v="0.16420000000000001"/>
    <x v="1"/>
  </r>
  <r>
    <n v="354"/>
    <d v="2011-01-16T00:00:00"/>
    <n v="1"/>
    <n v="5"/>
    <b v="0"/>
    <n v="0"/>
    <n v="2"/>
    <x v="12"/>
    <x v="1"/>
    <x v="1"/>
    <s v="Morning"/>
    <n v="0.56000000000000005"/>
    <n v="1"/>
    <n v="1"/>
    <n v="2"/>
    <n v="0.2576"/>
    <n v="0.16420000000000001"/>
    <x v="1"/>
  </r>
  <r>
    <n v="355"/>
    <d v="2011-01-16T00:00:00"/>
    <n v="1"/>
    <n v="6"/>
    <b v="0"/>
    <n v="0"/>
    <n v="2"/>
    <x v="12"/>
    <x v="1"/>
    <x v="1"/>
    <s v="Morning"/>
    <n v="0.56000000000000005"/>
    <n v="0"/>
    <n v="1"/>
    <n v="1"/>
    <n v="0.2576"/>
    <n v="0.16420000000000001"/>
    <x v="1"/>
  </r>
  <r>
    <n v="356"/>
    <d v="2011-01-16T00:00:00"/>
    <n v="1"/>
    <n v="7"/>
    <b v="0"/>
    <n v="0"/>
    <n v="2"/>
    <x v="0"/>
    <x v="1"/>
    <x v="1"/>
    <s v="Morning"/>
    <n v="0.56000000000000005"/>
    <n v="0"/>
    <n v="3"/>
    <n v="3"/>
    <n v="0.21210000000000001"/>
    <n v="0.29849999999999999"/>
    <x v="1"/>
  </r>
  <r>
    <n v="357"/>
    <d v="2011-01-16T00:00:00"/>
    <n v="1"/>
    <n v="8"/>
    <b v="0"/>
    <n v="0"/>
    <n v="1"/>
    <x v="1"/>
    <x v="1"/>
    <x v="0"/>
    <s v="Morning"/>
    <n v="0.55000000000000004"/>
    <n v="0"/>
    <n v="18"/>
    <n v="18"/>
    <n v="0.21210000000000001"/>
    <n v="0.28360000000000002"/>
    <x v="1"/>
  </r>
  <r>
    <n v="358"/>
    <d v="2011-01-16T00:00:00"/>
    <n v="1"/>
    <n v="9"/>
    <b v="0"/>
    <n v="0"/>
    <n v="1"/>
    <x v="1"/>
    <x v="1"/>
    <x v="0"/>
    <s v="Morning"/>
    <n v="0.51"/>
    <n v="3"/>
    <n v="29"/>
    <n v="32"/>
    <n v="0.21210000000000001"/>
    <n v="0.25369999999999998"/>
    <x v="1"/>
  </r>
  <r>
    <n v="359"/>
    <d v="2011-01-16T00:00:00"/>
    <n v="1"/>
    <n v="10"/>
    <b v="0"/>
    <n v="0"/>
    <n v="1"/>
    <x v="1"/>
    <x v="1"/>
    <x v="0"/>
    <s v="Morning"/>
    <n v="0.51"/>
    <n v="8"/>
    <n v="71"/>
    <n v="79"/>
    <n v="0.21210000000000001"/>
    <n v="0.28360000000000002"/>
    <x v="1"/>
  </r>
  <r>
    <n v="360"/>
    <d v="2011-01-16T00:00:00"/>
    <n v="1"/>
    <n v="11"/>
    <b v="0"/>
    <n v="0"/>
    <n v="1"/>
    <x v="0"/>
    <x v="1"/>
    <x v="0"/>
    <s v="Morning"/>
    <n v="0.44"/>
    <n v="23"/>
    <n v="70"/>
    <n v="93"/>
    <n v="0.2273"/>
    <n v="0.25369999999999998"/>
    <x v="1"/>
  </r>
  <r>
    <n v="361"/>
    <d v="2011-01-16T00:00:00"/>
    <n v="1"/>
    <n v="12"/>
    <b v="0"/>
    <n v="0"/>
    <n v="1"/>
    <x v="0"/>
    <x v="1"/>
    <x v="0"/>
    <s v="Afternoon"/>
    <n v="0.41"/>
    <n v="29"/>
    <n v="75"/>
    <n v="104"/>
    <n v="0.21210000000000001"/>
    <n v="0.28360000000000002"/>
    <x v="1"/>
  </r>
  <r>
    <n v="362"/>
    <d v="2011-01-16T00:00:00"/>
    <n v="1"/>
    <n v="13"/>
    <b v="0"/>
    <n v="0"/>
    <n v="1"/>
    <x v="12"/>
    <x v="1"/>
    <x v="0"/>
    <s v="Afternoon"/>
    <n v="0.35"/>
    <n v="23"/>
    <n v="95"/>
    <n v="118"/>
    <n v="0.2273"/>
    <n v="0.29849999999999999"/>
    <x v="1"/>
  </r>
  <r>
    <n v="363"/>
    <d v="2011-01-16T00:00:00"/>
    <n v="1"/>
    <n v="14"/>
    <b v="0"/>
    <n v="0"/>
    <n v="1"/>
    <x v="17"/>
    <x v="1"/>
    <x v="0"/>
    <s v="Afternoon"/>
    <n v="0.36"/>
    <n v="22"/>
    <n v="69"/>
    <n v="91"/>
    <n v="0.2727"/>
    <n v="0.25369999999999998"/>
    <x v="1"/>
  </r>
  <r>
    <n v="364"/>
    <d v="2011-01-16T00:00:00"/>
    <n v="1"/>
    <n v="15"/>
    <b v="0"/>
    <n v="0"/>
    <n v="1"/>
    <x v="12"/>
    <x v="1"/>
    <x v="0"/>
    <s v="Afternoon"/>
    <n v="0.38"/>
    <n v="35"/>
    <n v="78"/>
    <n v="113"/>
    <n v="0.2424"/>
    <n v="0.25369999999999998"/>
    <x v="1"/>
  </r>
  <r>
    <n v="365"/>
    <d v="2011-01-16T00:00:00"/>
    <n v="1"/>
    <n v="16"/>
    <b v="0"/>
    <n v="0"/>
    <n v="1"/>
    <x v="0"/>
    <x v="1"/>
    <x v="0"/>
    <s v="Afternoon"/>
    <n v="0.38"/>
    <n v="22"/>
    <n v="77"/>
    <n v="99"/>
    <n v="0.2273"/>
    <n v="0.22389999999999999"/>
    <x v="1"/>
  </r>
  <r>
    <n v="366"/>
    <d v="2011-01-16T00:00:00"/>
    <n v="1"/>
    <n v="17"/>
    <b v="0"/>
    <n v="0"/>
    <n v="1"/>
    <x v="1"/>
    <x v="1"/>
    <x v="0"/>
    <s v="Evening"/>
    <n v="0.37"/>
    <n v="23"/>
    <n v="82"/>
    <n v="105"/>
    <n v="0.21210000000000001"/>
    <n v="0.25369999999999998"/>
    <x v="1"/>
  </r>
  <r>
    <n v="367"/>
    <d v="2011-01-16T00:00:00"/>
    <n v="1"/>
    <n v="18"/>
    <b v="0"/>
    <n v="0"/>
    <n v="1"/>
    <x v="2"/>
    <x v="1"/>
    <x v="0"/>
    <s v="Evening"/>
    <n v="0.4"/>
    <n v="11"/>
    <n v="56"/>
    <n v="67"/>
    <n v="0.21210000000000001"/>
    <n v="0.16420000000000001"/>
    <x v="1"/>
  </r>
  <r>
    <n v="368"/>
    <d v="2011-01-16T00:00:00"/>
    <n v="1"/>
    <n v="19"/>
    <b v="0"/>
    <n v="0"/>
    <n v="1"/>
    <x v="15"/>
    <x v="1"/>
    <x v="0"/>
    <s v="Evening"/>
    <n v="0.47"/>
    <n v="14"/>
    <n v="47"/>
    <n v="61"/>
    <n v="0.19700000000000001"/>
    <n v="0.1343"/>
    <x v="1"/>
  </r>
  <r>
    <n v="369"/>
    <d v="2011-01-16T00:00:00"/>
    <n v="1"/>
    <n v="20"/>
    <b v="0"/>
    <n v="0"/>
    <n v="1"/>
    <x v="15"/>
    <x v="1"/>
    <x v="0"/>
    <s v="Evening"/>
    <n v="0.47"/>
    <n v="7"/>
    <n v="50"/>
    <n v="57"/>
    <n v="0.19700000000000001"/>
    <n v="0.16420000000000001"/>
    <x v="1"/>
  </r>
  <r>
    <n v="370"/>
    <d v="2011-01-16T00:00:00"/>
    <n v="1"/>
    <n v="21"/>
    <b v="0"/>
    <n v="0"/>
    <n v="1"/>
    <x v="15"/>
    <x v="1"/>
    <x v="0"/>
    <s v="Night"/>
    <n v="0.51"/>
    <n v="6"/>
    <n v="22"/>
    <n v="28"/>
    <n v="0.19700000000000001"/>
    <n v="0.16420000000000001"/>
    <x v="1"/>
  </r>
  <r>
    <n v="371"/>
    <d v="2011-01-16T00:00:00"/>
    <n v="1"/>
    <n v="22"/>
    <b v="0"/>
    <n v="0"/>
    <n v="2"/>
    <x v="2"/>
    <x v="1"/>
    <x v="1"/>
    <s v="Night"/>
    <n v="0.49"/>
    <n v="2"/>
    <n v="19"/>
    <n v="21"/>
    <n v="0.21210000000000001"/>
    <n v="0.1343"/>
    <x v="1"/>
  </r>
  <r>
    <n v="372"/>
    <d v="2011-01-16T00:00:00"/>
    <n v="1"/>
    <n v="23"/>
    <b v="0"/>
    <n v="0"/>
    <n v="2"/>
    <x v="2"/>
    <x v="1"/>
    <x v="1"/>
    <s v="Night"/>
    <n v="0.4"/>
    <n v="0"/>
    <n v="18"/>
    <n v="18"/>
    <n v="0.2273"/>
    <n v="0.1045"/>
    <x v="1"/>
  </r>
  <r>
    <n v="373"/>
    <d v="2011-01-17T00:00:00"/>
    <n v="1"/>
    <n v="0"/>
    <b v="1"/>
    <n v="1"/>
    <n v="2"/>
    <x v="2"/>
    <x v="1"/>
    <x v="1"/>
    <s v="Morning"/>
    <n v="0.47"/>
    <n v="1"/>
    <n v="16"/>
    <n v="17"/>
    <n v="0.19700000000000001"/>
    <n v="0.22389999999999999"/>
    <x v="2"/>
  </r>
  <r>
    <n v="374"/>
    <d v="2011-01-17T00:00:00"/>
    <n v="1"/>
    <n v="1"/>
    <b v="1"/>
    <n v="1"/>
    <n v="2"/>
    <x v="2"/>
    <x v="1"/>
    <x v="1"/>
    <s v="Morning"/>
    <n v="0.44"/>
    <n v="1"/>
    <n v="15"/>
    <n v="16"/>
    <n v="0.19700000000000001"/>
    <n v="0.19400000000000001"/>
    <x v="2"/>
  </r>
  <r>
    <n v="375"/>
    <d v="2011-01-17T00:00:00"/>
    <n v="1"/>
    <n v="2"/>
    <b v="1"/>
    <n v="1"/>
    <n v="2"/>
    <x v="15"/>
    <x v="1"/>
    <x v="1"/>
    <s v="Morning"/>
    <n v="0.43"/>
    <n v="0"/>
    <n v="8"/>
    <n v="8"/>
    <n v="0.16669999999999999"/>
    <n v="0.25369999999999998"/>
    <x v="2"/>
  </r>
  <r>
    <n v="376"/>
    <d v="2011-01-17T00:00:00"/>
    <n v="1"/>
    <n v="3"/>
    <b v="1"/>
    <n v="1"/>
    <n v="2"/>
    <x v="15"/>
    <x v="1"/>
    <x v="1"/>
    <s v="Morning"/>
    <n v="0.43"/>
    <n v="0"/>
    <n v="2"/>
    <n v="2"/>
    <n v="0.18179999999999999"/>
    <n v="0.19400000000000001"/>
    <x v="2"/>
  </r>
  <r>
    <n v="377"/>
    <d v="2011-01-17T00:00:00"/>
    <n v="1"/>
    <n v="4"/>
    <b v="1"/>
    <n v="1"/>
    <n v="2"/>
    <x v="15"/>
    <x v="1"/>
    <x v="1"/>
    <s v="Morning"/>
    <n v="0.43"/>
    <n v="1"/>
    <n v="2"/>
    <n v="3"/>
    <n v="0.19700000000000001"/>
    <n v="0.1343"/>
    <x v="2"/>
  </r>
  <r>
    <n v="378"/>
    <d v="2011-01-17T00:00:00"/>
    <n v="1"/>
    <n v="5"/>
    <b v="1"/>
    <n v="1"/>
    <n v="2"/>
    <x v="15"/>
    <x v="1"/>
    <x v="1"/>
    <s v="Morning"/>
    <n v="0.43"/>
    <n v="0"/>
    <n v="1"/>
    <n v="1"/>
    <n v="0.19700000000000001"/>
    <n v="0.16420000000000001"/>
    <x v="2"/>
  </r>
  <r>
    <n v="379"/>
    <d v="2011-01-17T00:00:00"/>
    <n v="1"/>
    <n v="6"/>
    <b v="1"/>
    <n v="1"/>
    <n v="2"/>
    <x v="15"/>
    <x v="1"/>
    <x v="1"/>
    <s v="Morning"/>
    <n v="0.43"/>
    <n v="0"/>
    <n v="5"/>
    <n v="5"/>
    <n v="0.18179999999999999"/>
    <n v="0.19400000000000001"/>
    <x v="2"/>
  </r>
  <r>
    <n v="380"/>
    <d v="2011-01-17T00:00:00"/>
    <n v="1"/>
    <n v="7"/>
    <b v="1"/>
    <n v="1"/>
    <n v="2"/>
    <x v="13"/>
    <x v="1"/>
    <x v="1"/>
    <s v="Morning"/>
    <n v="0.5"/>
    <n v="4"/>
    <n v="9"/>
    <n v="13"/>
    <n v="0.18179999999999999"/>
    <n v="0.1343"/>
    <x v="2"/>
  </r>
  <r>
    <n v="381"/>
    <d v="2011-01-17T00:00:00"/>
    <n v="1"/>
    <n v="8"/>
    <b v="1"/>
    <n v="1"/>
    <n v="2"/>
    <x v="13"/>
    <x v="1"/>
    <x v="1"/>
    <s v="Morning"/>
    <n v="0.47"/>
    <n v="3"/>
    <n v="30"/>
    <n v="33"/>
    <n v="0.1515"/>
    <n v="0.22389999999999999"/>
    <x v="2"/>
  </r>
  <r>
    <n v="382"/>
    <d v="2011-01-17T00:00:00"/>
    <n v="1"/>
    <n v="9"/>
    <b v="1"/>
    <n v="1"/>
    <n v="2"/>
    <x v="13"/>
    <x v="1"/>
    <x v="1"/>
    <s v="Morning"/>
    <n v="0.47"/>
    <n v="8"/>
    <n v="39"/>
    <n v="47"/>
    <n v="0.1515"/>
    <n v="0.22389999999999999"/>
    <x v="2"/>
  </r>
  <r>
    <n v="383"/>
    <d v="2011-01-17T00:00:00"/>
    <n v="1"/>
    <n v="10"/>
    <b v="1"/>
    <n v="1"/>
    <n v="2"/>
    <x v="13"/>
    <x v="1"/>
    <x v="1"/>
    <s v="Morning"/>
    <n v="0.5"/>
    <n v="7"/>
    <n v="50"/>
    <n v="57"/>
    <n v="0.1515"/>
    <n v="0.25369999999999998"/>
    <x v="2"/>
  </r>
  <r>
    <n v="384"/>
    <d v="2011-01-17T00:00:00"/>
    <n v="1"/>
    <n v="11"/>
    <b v="1"/>
    <n v="1"/>
    <n v="2"/>
    <x v="13"/>
    <x v="1"/>
    <x v="1"/>
    <s v="Morning"/>
    <n v="0.55000000000000004"/>
    <n v="9"/>
    <n v="55"/>
    <n v="64"/>
    <n v="0.1515"/>
    <n v="0.19400000000000001"/>
    <x v="2"/>
  </r>
  <r>
    <n v="385"/>
    <d v="2011-01-17T00:00:00"/>
    <n v="1"/>
    <n v="12"/>
    <b v="1"/>
    <n v="1"/>
    <n v="2"/>
    <x v="15"/>
    <x v="1"/>
    <x v="1"/>
    <s v="Afternoon"/>
    <n v="0.47"/>
    <n v="10"/>
    <n v="70"/>
    <n v="80"/>
    <n v="0.19700000000000001"/>
    <n v="0.1343"/>
    <x v="2"/>
  </r>
  <r>
    <n v="386"/>
    <d v="2011-01-17T00:00:00"/>
    <n v="1"/>
    <n v="13"/>
    <b v="1"/>
    <n v="1"/>
    <n v="2"/>
    <x v="15"/>
    <x v="1"/>
    <x v="1"/>
    <s v="Afternoon"/>
    <n v="0.47"/>
    <n v="13"/>
    <n v="80"/>
    <n v="93"/>
    <n v="0.19700000000000001"/>
    <n v="0.1343"/>
    <x v="2"/>
  </r>
  <r>
    <n v="387"/>
    <d v="2011-01-17T00:00:00"/>
    <n v="1"/>
    <n v="14"/>
    <b v="1"/>
    <n v="1"/>
    <n v="2"/>
    <x v="15"/>
    <x v="1"/>
    <x v="1"/>
    <s v="Afternoon"/>
    <n v="0.43"/>
    <n v="12"/>
    <n v="74"/>
    <n v="86"/>
    <n v="0.21210000000000001"/>
    <n v="0.1045"/>
    <x v="2"/>
  </r>
  <r>
    <n v="388"/>
    <d v="2011-01-17T00:00:00"/>
    <n v="1"/>
    <n v="15"/>
    <b v="1"/>
    <n v="1"/>
    <n v="2"/>
    <x v="2"/>
    <x v="1"/>
    <x v="1"/>
    <s v="Afternoon"/>
    <n v="0.47"/>
    <n v="21"/>
    <n v="72"/>
    <n v="93"/>
    <n v="0.21210000000000001"/>
    <n v="0.16420000000000001"/>
    <x v="2"/>
  </r>
  <r>
    <n v="389"/>
    <d v="2011-01-17T00:00:00"/>
    <n v="1"/>
    <n v="16"/>
    <b v="1"/>
    <n v="1"/>
    <n v="2"/>
    <x v="2"/>
    <x v="1"/>
    <x v="1"/>
    <s v="Afternoon"/>
    <n v="0.47"/>
    <n v="6"/>
    <n v="76"/>
    <n v="82"/>
    <n v="0.21210000000000001"/>
    <n v="0.16420000000000001"/>
    <x v="2"/>
  </r>
  <r>
    <n v="390"/>
    <d v="2011-01-17T00:00:00"/>
    <n v="1"/>
    <n v="17"/>
    <b v="1"/>
    <n v="1"/>
    <n v="1"/>
    <x v="2"/>
    <x v="1"/>
    <x v="0"/>
    <s v="Evening"/>
    <n v="0.51"/>
    <n v="4"/>
    <n v="67"/>
    <n v="71"/>
    <n v="0.19700000000000001"/>
    <n v="0.19400000000000001"/>
    <x v="2"/>
  </r>
  <r>
    <n v="391"/>
    <d v="2011-01-17T00:00:00"/>
    <n v="1"/>
    <n v="18"/>
    <b v="1"/>
    <n v="1"/>
    <n v="2"/>
    <x v="15"/>
    <x v="1"/>
    <x v="1"/>
    <s v="Evening"/>
    <n v="0.55000000000000004"/>
    <n v="7"/>
    <n v="85"/>
    <n v="92"/>
    <n v="0.16669999999999999"/>
    <n v="0.25369999999999998"/>
    <x v="2"/>
  </r>
  <r>
    <n v="392"/>
    <d v="2011-01-17T00:00:00"/>
    <n v="1"/>
    <n v="19"/>
    <b v="1"/>
    <n v="1"/>
    <n v="3"/>
    <x v="15"/>
    <x v="1"/>
    <x v="2"/>
    <s v="Evening"/>
    <n v="0.59"/>
    <n v="2"/>
    <n v="58"/>
    <n v="60"/>
    <n v="0.18179999999999999"/>
    <n v="0.19400000000000001"/>
    <x v="2"/>
  </r>
  <r>
    <n v="393"/>
    <d v="2011-01-17T00:00:00"/>
    <n v="1"/>
    <n v="20"/>
    <b v="1"/>
    <n v="1"/>
    <n v="3"/>
    <x v="13"/>
    <x v="1"/>
    <x v="2"/>
    <s v="Evening"/>
    <n v="0.8"/>
    <n v="4"/>
    <n v="29"/>
    <n v="33"/>
    <n v="0.1515"/>
    <n v="0.19400000000000001"/>
    <x v="2"/>
  </r>
  <r>
    <n v="394"/>
    <d v="2011-01-17T00:00:00"/>
    <n v="1"/>
    <n v="21"/>
    <b v="1"/>
    <n v="1"/>
    <n v="3"/>
    <x v="13"/>
    <x v="1"/>
    <x v="2"/>
    <s v="Night"/>
    <n v="0.8"/>
    <n v="3"/>
    <n v="24"/>
    <n v="27"/>
    <n v="0.1515"/>
    <n v="0.19400000000000001"/>
    <x v="2"/>
  </r>
  <r>
    <n v="395"/>
    <d v="2011-01-17T00:00:00"/>
    <n v="1"/>
    <n v="22"/>
    <b v="1"/>
    <n v="1"/>
    <n v="3"/>
    <x v="14"/>
    <x v="1"/>
    <x v="2"/>
    <s v="Night"/>
    <n v="0.93"/>
    <n v="0"/>
    <n v="13"/>
    <n v="13"/>
    <n v="0.1212"/>
    <n v="0.25369999999999998"/>
    <x v="2"/>
  </r>
  <r>
    <n v="396"/>
    <d v="2011-01-17T00:00:00"/>
    <n v="1"/>
    <n v="23"/>
    <b v="1"/>
    <n v="1"/>
    <n v="3"/>
    <x v="13"/>
    <x v="1"/>
    <x v="2"/>
    <s v="Night"/>
    <n v="0.86"/>
    <n v="1"/>
    <n v="3"/>
    <n v="4"/>
    <n v="0.13639999999999999"/>
    <n v="0.28360000000000002"/>
    <x v="2"/>
  </r>
  <r>
    <n v="397"/>
    <d v="2011-01-18T00:00:00"/>
    <n v="1"/>
    <n v="12"/>
    <b v="0"/>
    <n v="2"/>
    <n v="2"/>
    <x v="2"/>
    <x v="1"/>
    <x v="1"/>
    <s v="Afternoon"/>
    <n v="0.86"/>
    <n v="0"/>
    <n v="3"/>
    <n v="3"/>
    <n v="0.18179999999999999"/>
    <n v="0.32840000000000003"/>
    <x v="3"/>
  </r>
  <r>
    <n v="398"/>
    <d v="2011-01-18T00:00:00"/>
    <n v="1"/>
    <n v="13"/>
    <b v="0"/>
    <n v="2"/>
    <n v="2"/>
    <x v="2"/>
    <x v="1"/>
    <x v="1"/>
    <s v="Afternoon"/>
    <n v="0.86"/>
    <n v="0"/>
    <n v="22"/>
    <n v="22"/>
    <n v="0.19700000000000001"/>
    <n v="0.22389999999999999"/>
    <x v="3"/>
  </r>
  <r>
    <n v="399"/>
    <d v="2011-01-18T00:00:00"/>
    <n v="1"/>
    <n v="14"/>
    <b v="0"/>
    <n v="2"/>
    <n v="2"/>
    <x v="1"/>
    <x v="1"/>
    <x v="1"/>
    <s v="Afternoon"/>
    <n v="0.8"/>
    <n v="2"/>
    <n v="26"/>
    <n v="28"/>
    <n v="0.2273"/>
    <n v="0.16420000000000001"/>
    <x v="3"/>
  </r>
  <r>
    <n v="400"/>
    <d v="2011-01-18T00:00:00"/>
    <n v="1"/>
    <n v="15"/>
    <b v="0"/>
    <n v="2"/>
    <n v="2"/>
    <x v="1"/>
    <x v="1"/>
    <x v="1"/>
    <s v="Afternoon"/>
    <n v="0.87"/>
    <n v="3"/>
    <n v="32"/>
    <n v="35"/>
    <n v="0.2273"/>
    <n v="0.16420000000000001"/>
    <x v="3"/>
  </r>
  <r>
    <n v="401"/>
    <d v="2011-01-18T00:00:00"/>
    <n v="1"/>
    <n v="16"/>
    <b v="0"/>
    <n v="2"/>
    <n v="2"/>
    <x v="1"/>
    <x v="1"/>
    <x v="1"/>
    <s v="Afternoon"/>
    <n v="0.87"/>
    <n v="0"/>
    <n v="61"/>
    <n v="61"/>
    <n v="0.2273"/>
    <n v="0.19400000000000001"/>
    <x v="3"/>
  </r>
  <r>
    <n v="402"/>
    <d v="2011-01-18T00:00:00"/>
    <n v="1"/>
    <n v="17"/>
    <b v="0"/>
    <n v="2"/>
    <n v="2"/>
    <x v="1"/>
    <x v="1"/>
    <x v="1"/>
    <s v="Evening"/>
    <n v="0.82"/>
    <n v="1"/>
    <n v="124"/>
    <n v="125"/>
    <n v="0.2273"/>
    <n v="0.19400000000000001"/>
    <x v="3"/>
  </r>
  <r>
    <n v="403"/>
    <d v="2011-01-18T00:00:00"/>
    <n v="1"/>
    <n v="18"/>
    <b v="0"/>
    <n v="2"/>
    <n v="2"/>
    <x v="1"/>
    <x v="1"/>
    <x v="1"/>
    <s v="Evening"/>
    <n v="0.8"/>
    <n v="1"/>
    <n v="132"/>
    <n v="133"/>
    <n v="0.2273"/>
    <n v="0.16420000000000001"/>
    <x v="3"/>
  </r>
  <r>
    <n v="404"/>
    <d v="2011-01-18T00:00:00"/>
    <n v="1"/>
    <n v="19"/>
    <b v="0"/>
    <n v="2"/>
    <n v="2"/>
    <x v="1"/>
    <x v="1"/>
    <x v="1"/>
    <s v="Evening"/>
    <n v="0.8"/>
    <n v="1"/>
    <n v="98"/>
    <n v="99"/>
    <n v="0.2273"/>
    <n v="0.1343"/>
    <x v="3"/>
  </r>
  <r>
    <n v="405"/>
    <d v="2011-01-18T00:00:00"/>
    <n v="1"/>
    <n v="20"/>
    <b v="0"/>
    <n v="2"/>
    <n v="2"/>
    <x v="1"/>
    <x v="1"/>
    <x v="1"/>
    <s v="Evening"/>
    <n v="0.87"/>
    <n v="0"/>
    <n v="83"/>
    <n v="83"/>
    <n v="0.2727"/>
    <n v="0"/>
    <x v="3"/>
  </r>
  <r>
    <n v="406"/>
    <d v="2011-01-18T00:00:00"/>
    <n v="1"/>
    <n v="21"/>
    <b v="0"/>
    <n v="2"/>
    <n v="2"/>
    <x v="1"/>
    <x v="1"/>
    <x v="1"/>
    <s v="Night"/>
    <n v="0.93"/>
    <n v="0"/>
    <n v="41"/>
    <n v="41"/>
    <n v="0.2424"/>
    <n v="0.1045"/>
    <x v="3"/>
  </r>
  <r>
    <n v="407"/>
    <d v="2011-01-18T00:00:00"/>
    <n v="1"/>
    <n v="22"/>
    <b v="0"/>
    <n v="2"/>
    <n v="2"/>
    <x v="1"/>
    <x v="1"/>
    <x v="1"/>
    <s v="Night"/>
    <n v="0.93"/>
    <n v="0"/>
    <n v="33"/>
    <n v="33"/>
    <n v="0.2576"/>
    <n v="8.9599999999999999E-2"/>
    <x v="3"/>
  </r>
  <r>
    <n v="408"/>
    <d v="2011-01-18T00:00:00"/>
    <n v="1"/>
    <n v="23"/>
    <b v="0"/>
    <n v="2"/>
    <n v="2"/>
    <x v="1"/>
    <x v="1"/>
    <x v="1"/>
    <s v="Night"/>
    <n v="0.93"/>
    <n v="1"/>
    <n v="19"/>
    <n v="20"/>
    <n v="0.2727"/>
    <n v="0"/>
    <x v="3"/>
  </r>
  <r>
    <n v="409"/>
    <d v="2011-01-19T00:00:00"/>
    <n v="1"/>
    <n v="0"/>
    <b v="0"/>
    <n v="3"/>
    <n v="2"/>
    <x v="1"/>
    <x v="1"/>
    <x v="1"/>
    <s v="Morning"/>
    <n v="0.93"/>
    <n v="0"/>
    <n v="3"/>
    <n v="3"/>
    <n v="0.2727"/>
    <n v="0"/>
    <x v="4"/>
  </r>
  <r>
    <n v="410"/>
    <d v="2011-01-19T00:00:00"/>
    <n v="1"/>
    <n v="1"/>
    <b v="0"/>
    <n v="3"/>
    <n v="3"/>
    <x v="1"/>
    <x v="1"/>
    <x v="2"/>
    <s v="Morning"/>
    <n v="0.93"/>
    <n v="1"/>
    <n v="6"/>
    <n v="7"/>
    <n v="0.2273"/>
    <n v="0.1343"/>
    <x v="4"/>
  </r>
  <r>
    <n v="411"/>
    <d v="2011-01-19T00:00:00"/>
    <n v="1"/>
    <n v="2"/>
    <b v="0"/>
    <n v="3"/>
    <n v="3"/>
    <x v="1"/>
    <x v="1"/>
    <x v="2"/>
    <s v="Morning"/>
    <n v="0.93"/>
    <n v="0"/>
    <n v="3"/>
    <n v="3"/>
    <n v="0.2273"/>
    <n v="0.1343"/>
    <x v="4"/>
  </r>
  <r>
    <n v="412"/>
    <d v="2011-01-19T00:00:00"/>
    <n v="1"/>
    <n v="4"/>
    <b v="0"/>
    <n v="3"/>
    <n v="3"/>
    <x v="1"/>
    <x v="1"/>
    <x v="2"/>
    <s v="Morning"/>
    <n v="0.93"/>
    <n v="1"/>
    <n v="1"/>
    <n v="2"/>
    <n v="0.2273"/>
    <n v="0.1343"/>
    <x v="4"/>
  </r>
  <r>
    <n v="413"/>
    <d v="2011-01-19T00:00:00"/>
    <n v="1"/>
    <n v="5"/>
    <b v="0"/>
    <n v="3"/>
    <n v="2"/>
    <x v="1"/>
    <x v="1"/>
    <x v="1"/>
    <s v="Morning"/>
    <n v="0.93"/>
    <n v="0"/>
    <n v="7"/>
    <n v="7"/>
    <n v="0.2576"/>
    <n v="8.9599999999999999E-2"/>
    <x v="4"/>
  </r>
  <r>
    <n v="414"/>
    <d v="2011-01-19T00:00:00"/>
    <n v="1"/>
    <n v="6"/>
    <b v="0"/>
    <n v="3"/>
    <n v="2"/>
    <x v="1"/>
    <x v="1"/>
    <x v="1"/>
    <s v="Morning"/>
    <n v="0.93"/>
    <n v="0"/>
    <n v="32"/>
    <n v="32"/>
    <n v="0.2576"/>
    <n v="8.9599999999999999E-2"/>
    <x v="4"/>
  </r>
  <r>
    <n v="415"/>
    <d v="2011-01-19T00:00:00"/>
    <n v="1"/>
    <n v="7"/>
    <b v="0"/>
    <n v="3"/>
    <n v="2"/>
    <x v="0"/>
    <x v="1"/>
    <x v="1"/>
    <s v="Morning"/>
    <n v="0.92"/>
    <n v="1"/>
    <n v="89"/>
    <n v="90"/>
    <n v="0.2576"/>
    <n v="0.1045"/>
    <x v="4"/>
  </r>
  <r>
    <n v="416"/>
    <d v="2011-01-19T00:00:00"/>
    <n v="1"/>
    <n v="8"/>
    <b v="0"/>
    <n v="3"/>
    <n v="2"/>
    <x v="0"/>
    <x v="1"/>
    <x v="1"/>
    <s v="Morning"/>
    <n v="0.93"/>
    <n v="1"/>
    <n v="196"/>
    <n v="197"/>
    <n v="0.2576"/>
    <n v="0.1045"/>
    <x v="4"/>
  </r>
  <r>
    <n v="417"/>
    <d v="2011-01-19T00:00:00"/>
    <n v="1"/>
    <n v="9"/>
    <b v="0"/>
    <n v="3"/>
    <n v="2"/>
    <x v="0"/>
    <x v="1"/>
    <x v="1"/>
    <s v="Morning"/>
    <n v="0.93"/>
    <n v="2"/>
    <n v="107"/>
    <n v="109"/>
    <n v="0.2576"/>
    <n v="0.1045"/>
    <x v="4"/>
  </r>
  <r>
    <n v="418"/>
    <d v="2011-01-19T00:00:00"/>
    <n v="1"/>
    <n v="10"/>
    <b v="0"/>
    <n v="3"/>
    <n v="2"/>
    <x v="12"/>
    <x v="1"/>
    <x v="1"/>
    <s v="Morning"/>
    <n v="0.93"/>
    <n v="1"/>
    <n v="46"/>
    <n v="47"/>
    <n v="0.2727"/>
    <n v="0.1343"/>
    <x v="4"/>
  </r>
  <r>
    <n v="419"/>
    <d v="2011-01-19T00:00:00"/>
    <n v="1"/>
    <n v="11"/>
    <b v="0"/>
    <n v="3"/>
    <n v="2"/>
    <x v="17"/>
    <x v="1"/>
    <x v="1"/>
    <s v="Morning"/>
    <n v="0.87"/>
    <n v="5"/>
    <n v="47"/>
    <n v="52"/>
    <n v="0.30299999999999999"/>
    <n v="8.9599999999999999E-2"/>
    <x v="4"/>
  </r>
  <r>
    <n v="420"/>
    <d v="2011-01-19T00:00:00"/>
    <n v="1"/>
    <n v="12"/>
    <b v="0"/>
    <n v="3"/>
    <n v="2"/>
    <x v="11"/>
    <x v="1"/>
    <x v="1"/>
    <s v="Afternoon"/>
    <n v="0.81"/>
    <n v="5"/>
    <n v="65"/>
    <n v="70"/>
    <n v="0.31819999999999998"/>
    <n v="8.9599999999999999E-2"/>
    <x v="4"/>
  </r>
  <r>
    <n v="421"/>
    <d v="2011-01-19T00:00:00"/>
    <n v="1"/>
    <n v="13"/>
    <b v="0"/>
    <n v="3"/>
    <n v="1"/>
    <x v="9"/>
    <x v="1"/>
    <x v="0"/>
    <s v="Afternoon"/>
    <n v="0.62"/>
    <n v="11"/>
    <n v="67"/>
    <n v="78"/>
    <n v="0.40910000000000002"/>
    <n v="0.28360000000000002"/>
    <x v="4"/>
  </r>
  <r>
    <n v="422"/>
    <d v="2011-01-19T00:00:00"/>
    <n v="1"/>
    <n v="14"/>
    <b v="0"/>
    <n v="3"/>
    <n v="1"/>
    <x v="9"/>
    <x v="1"/>
    <x v="0"/>
    <s v="Afternoon"/>
    <n v="0.57999999999999996"/>
    <n v="7"/>
    <n v="68"/>
    <n v="75"/>
    <n v="0.40910000000000002"/>
    <n v="0.25369999999999998"/>
    <x v="4"/>
  </r>
  <r>
    <n v="423"/>
    <d v="2011-01-19T00:00:00"/>
    <n v="1"/>
    <n v="15"/>
    <b v="0"/>
    <n v="3"/>
    <n v="1"/>
    <x v="9"/>
    <x v="1"/>
    <x v="0"/>
    <s v="Afternoon"/>
    <n v="0.54"/>
    <n v="4"/>
    <n v="78"/>
    <n v="82"/>
    <n v="0.40910000000000002"/>
    <n v="0.28360000000000002"/>
    <x v="4"/>
  </r>
  <r>
    <n v="424"/>
    <d v="2011-01-19T00:00:00"/>
    <n v="1"/>
    <n v="16"/>
    <b v="0"/>
    <n v="3"/>
    <n v="1"/>
    <x v="4"/>
    <x v="1"/>
    <x v="0"/>
    <s v="Afternoon"/>
    <n v="0.57999999999999996"/>
    <n v="10"/>
    <n v="94"/>
    <n v="104"/>
    <n v="0.39389999999999997"/>
    <n v="0.3881"/>
    <x v="4"/>
  </r>
  <r>
    <n v="425"/>
    <d v="2011-01-19T00:00:00"/>
    <n v="1"/>
    <n v="17"/>
    <b v="0"/>
    <n v="3"/>
    <n v="1"/>
    <x v="5"/>
    <x v="1"/>
    <x v="0"/>
    <s v="Evening"/>
    <n v="0.56999999999999995"/>
    <n v="7"/>
    <n v="190"/>
    <n v="197"/>
    <n v="0.33329999999999999"/>
    <n v="0.32840000000000003"/>
    <x v="4"/>
  </r>
  <r>
    <n v="426"/>
    <d v="2011-01-19T00:00:00"/>
    <n v="1"/>
    <n v="18"/>
    <b v="0"/>
    <n v="3"/>
    <n v="1"/>
    <x v="10"/>
    <x v="1"/>
    <x v="0"/>
    <s v="Evening"/>
    <n v="0.61"/>
    <n v="5"/>
    <n v="156"/>
    <n v="161"/>
    <n v="0.31819999999999998"/>
    <n v="0.28360000000000002"/>
    <x v="4"/>
  </r>
  <r>
    <n v="427"/>
    <d v="2011-01-19T00:00:00"/>
    <n v="1"/>
    <n v="19"/>
    <b v="0"/>
    <n v="3"/>
    <n v="1"/>
    <x v="3"/>
    <x v="1"/>
    <x v="0"/>
    <s v="Evening"/>
    <n v="0.56999999999999995"/>
    <n v="4"/>
    <n v="108"/>
    <n v="112"/>
    <n v="0.28789999999999999"/>
    <n v="0.41789999999999999"/>
    <x v="4"/>
  </r>
  <r>
    <n v="428"/>
    <d v="2011-01-19T00:00:00"/>
    <n v="1"/>
    <n v="20"/>
    <b v="0"/>
    <n v="3"/>
    <n v="1"/>
    <x v="3"/>
    <x v="1"/>
    <x v="0"/>
    <s v="Evening"/>
    <n v="0.49"/>
    <n v="2"/>
    <n v="74"/>
    <n v="76"/>
    <n v="0.30299999999999999"/>
    <n v="0.29849999999999999"/>
    <x v="4"/>
  </r>
  <r>
    <n v="429"/>
    <d v="2011-01-19T00:00:00"/>
    <n v="1"/>
    <n v="21"/>
    <b v="0"/>
    <n v="3"/>
    <n v="1"/>
    <x v="3"/>
    <x v="1"/>
    <x v="0"/>
    <s v="Night"/>
    <n v="0.49"/>
    <n v="4"/>
    <n v="55"/>
    <n v="59"/>
    <n v="0.28789999999999999"/>
    <n v="0.41789999999999999"/>
    <x v="4"/>
  </r>
  <r>
    <n v="430"/>
    <d v="2011-01-19T00:00:00"/>
    <n v="1"/>
    <n v="22"/>
    <b v="0"/>
    <n v="3"/>
    <n v="1"/>
    <x v="11"/>
    <x v="1"/>
    <x v="0"/>
    <s v="Night"/>
    <n v="0.52"/>
    <n v="6"/>
    <n v="53"/>
    <n v="59"/>
    <n v="0.30299999999999999"/>
    <n v="0.16420000000000001"/>
    <x v="4"/>
  </r>
  <r>
    <n v="431"/>
    <d v="2011-01-19T00:00:00"/>
    <n v="1"/>
    <n v="23"/>
    <b v="0"/>
    <n v="3"/>
    <n v="1"/>
    <x v="11"/>
    <x v="1"/>
    <x v="0"/>
    <s v="Night"/>
    <n v="0.52"/>
    <n v="1"/>
    <n v="27"/>
    <n v="28"/>
    <n v="0.2727"/>
    <n v="0.4627"/>
    <x v="4"/>
  </r>
  <r>
    <n v="432"/>
    <d v="2011-01-20T00:00:00"/>
    <n v="1"/>
    <n v="0"/>
    <b v="0"/>
    <n v="4"/>
    <n v="1"/>
    <x v="12"/>
    <x v="1"/>
    <x v="0"/>
    <s v="Morning"/>
    <n v="0.56000000000000005"/>
    <n v="5"/>
    <n v="8"/>
    <n v="13"/>
    <n v="0.2273"/>
    <n v="0.3881"/>
    <x v="5"/>
  </r>
  <r>
    <n v="433"/>
    <d v="2011-01-20T00:00:00"/>
    <n v="1"/>
    <n v="1"/>
    <b v="0"/>
    <n v="4"/>
    <n v="1"/>
    <x v="12"/>
    <x v="1"/>
    <x v="0"/>
    <s v="Morning"/>
    <n v="0.56000000000000005"/>
    <n v="2"/>
    <n v="3"/>
    <n v="5"/>
    <n v="0.2727"/>
    <n v="0"/>
    <x v="5"/>
  </r>
  <r>
    <n v="434"/>
    <d v="2011-01-20T00:00:00"/>
    <n v="1"/>
    <n v="2"/>
    <b v="0"/>
    <n v="4"/>
    <n v="1"/>
    <x v="12"/>
    <x v="1"/>
    <x v="0"/>
    <s v="Morning"/>
    <n v="0.56000000000000005"/>
    <n v="0"/>
    <n v="2"/>
    <n v="2"/>
    <n v="0.2727"/>
    <n v="0"/>
    <x v="5"/>
  </r>
  <r>
    <n v="435"/>
    <d v="2011-01-20T00:00:00"/>
    <n v="1"/>
    <n v="3"/>
    <b v="0"/>
    <n v="4"/>
    <n v="1"/>
    <x v="12"/>
    <x v="1"/>
    <x v="0"/>
    <s v="Morning"/>
    <n v="0.56000000000000005"/>
    <n v="0"/>
    <n v="1"/>
    <n v="1"/>
    <n v="0.2576"/>
    <n v="0.16420000000000001"/>
    <x v="5"/>
  </r>
  <r>
    <n v="436"/>
    <d v="2011-01-20T00:00:00"/>
    <n v="1"/>
    <n v="4"/>
    <b v="0"/>
    <n v="4"/>
    <n v="1"/>
    <x v="12"/>
    <x v="1"/>
    <x v="0"/>
    <s v="Morning"/>
    <n v="0.56000000000000005"/>
    <n v="0"/>
    <n v="1"/>
    <n v="1"/>
    <n v="0.2576"/>
    <n v="0.16420000000000001"/>
    <x v="5"/>
  </r>
  <r>
    <n v="437"/>
    <d v="2011-01-20T00:00:00"/>
    <n v="1"/>
    <n v="5"/>
    <b v="0"/>
    <n v="4"/>
    <n v="1"/>
    <x v="0"/>
    <x v="1"/>
    <x v="0"/>
    <s v="Morning"/>
    <n v="0.6"/>
    <n v="0"/>
    <n v="6"/>
    <n v="6"/>
    <n v="0.2273"/>
    <n v="0.22389999999999999"/>
    <x v="5"/>
  </r>
  <r>
    <n v="438"/>
    <d v="2011-01-20T00:00:00"/>
    <n v="1"/>
    <n v="6"/>
    <b v="0"/>
    <n v="4"/>
    <n v="1"/>
    <x v="1"/>
    <x v="1"/>
    <x v="0"/>
    <s v="Morning"/>
    <n v="0.6"/>
    <n v="0"/>
    <n v="35"/>
    <n v="35"/>
    <n v="0.21210000000000001"/>
    <n v="0.22389999999999999"/>
    <x v="5"/>
  </r>
  <r>
    <n v="439"/>
    <d v="2011-01-20T00:00:00"/>
    <n v="1"/>
    <n v="7"/>
    <b v="0"/>
    <n v="4"/>
    <n v="1"/>
    <x v="1"/>
    <x v="1"/>
    <x v="0"/>
    <s v="Morning"/>
    <n v="0.55000000000000004"/>
    <n v="1"/>
    <n v="100"/>
    <n v="101"/>
    <n v="0.21210000000000001"/>
    <n v="0.22389999999999999"/>
    <x v="5"/>
  </r>
  <r>
    <n v="440"/>
    <d v="2011-01-20T00:00:00"/>
    <n v="1"/>
    <n v="8"/>
    <b v="0"/>
    <n v="4"/>
    <n v="1"/>
    <x v="1"/>
    <x v="1"/>
    <x v="0"/>
    <s v="Morning"/>
    <n v="0.55000000000000004"/>
    <n v="2"/>
    <n v="247"/>
    <n v="249"/>
    <n v="0.21210000000000001"/>
    <n v="0.28360000000000002"/>
    <x v="5"/>
  </r>
  <r>
    <n v="441"/>
    <d v="2011-01-20T00:00:00"/>
    <n v="1"/>
    <n v="9"/>
    <b v="0"/>
    <n v="4"/>
    <n v="2"/>
    <x v="0"/>
    <x v="1"/>
    <x v="1"/>
    <s v="Morning"/>
    <n v="0.52"/>
    <n v="3"/>
    <n v="140"/>
    <n v="143"/>
    <n v="0.2273"/>
    <n v="0.22389999999999999"/>
    <x v="5"/>
  </r>
  <r>
    <n v="442"/>
    <d v="2011-01-20T00:00:00"/>
    <n v="1"/>
    <n v="10"/>
    <b v="0"/>
    <n v="4"/>
    <n v="1"/>
    <x v="12"/>
    <x v="1"/>
    <x v="0"/>
    <s v="Morning"/>
    <n v="0.48"/>
    <n v="1"/>
    <n v="56"/>
    <n v="57"/>
    <n v="0.2273"/>
    <n v="0.29849999999999999"/>
    <x v="5"/>
  </r>
  <r>
    <n v="443"/>
    <d v="2011-01-20T00:00:00"/>
    <n v="1"/>
    <n v="11"/>
    <b v="0"/>
    <n v="4"/>
    <n v="2"/>
    <x v="17"/>
    <x v="1"/>
    <x v="1"/>
    <s v="Morning"/>
    <n v="0.45"/>
    <n v="5"/>
    <n v="63"/>
    <n v="68"/>
    <n v="0.2727"/>
    <n v="0.16420000000000001"/>
    <x v="5"/>
  </r>
  <r>
    <n v="444"/>
    <d v="2011-01-20T00:00:00"/>
    <n v="1"/>
    <n v="12"/>
    <b v="0"/>
    <n v="4"/>
    <n v="2"/>
    <x v="11"/>
    <x v="1"/>
    <x v="1"/>
    <s v="Afternoon"/>
    <n v="0.42"/>
    <n v="7"/>
    <n v="77"/>
    <n v="84"/>
    <n v="0.33329999999999999"/>
    <n v="0"/>
    <x v="5"/>
  </r>
  <r>
    <n v="445"/>
    <d v="2011-01-20T00:00:00"/>
    <n v="1"/>
    <n v="13"/>
    <b v="0"/>
    <n v="4"/>
    <n v="2"/>
    <x v="17"/>
    <x v="1"/>
    <x v="1"/>
    <s v="Afternoon"/>
    <n v="0.45"/>
    <n v="12"/>
    <n v="86"/>
    <n v="98"/>
    <n v="0.28789999999999999"/>
    <n v="0.1045"/>
    <x v="5"/>
  </r>
  <r>
    <n v="446"/>
    <d v="2011-01-20T00:00:00"/>
    <n v="1"/>
    <n v="14"/>
    <b v="0"/>
    <n v="4"/>
    <n v="2"/>
    <x v="11"/>
    <x v="1"/>
    <x v="1"/>
    <s v="Afternoon"/>
    <n v="0.45"/>
    <n v="6"/>
    <n v="75"/>
    <n v="81"/>
    <n v="0.30299999999999999"/>
    <n v="0.1343"/>
    <x v="5"/>
  </r>
  <r>
    <n v="447"/>
    <d v="2011-01-20T00:00:00"/>
    <n v="1"/>
    <n v="15"/>
    <b v="0"/>
    <n v="4"/>
    <n v="2"/>
    <x v="3"/>
    <x v="1"/>
    <x v="1"/>
    <s v="Afternoon"/>
    <n v="0.45"/>
    <n v="8"/>
    <n v="62"/>
    <n v="70"/>
    <n v="0.31819999999999998"/>
    <n v="0.19400000000000001"/>
    <x v="5"/>
  </r>
  <r>
    <n v="448"/>
    <d v="2011-01-20T00:00:00"/>
    <n v="1"/>
    <n v="16"/>
    <b v="0"/>
    <n v="4"/>
    <n v="2"/>
    <x v="11"/>
    <x v="1"/>
    <x v="1"/>
    <s v="Afternoon"/>
    <n v="0.49"/>
    <n v="8"/>
    <n v="83"/>
    <n v="91"/>
    <n v="0.30299999999999999"/>
    <n v="0.1343"/>
    <x v="5"/>
  </r>
  <r>
    <n v="449"/>
    <d v="2011-01-20T00:00:00"/>
    <n v="1"/>
    <n v="17"/>
    <b v="0"/>
    <n v="4"/>
    <n v="2"/>
    <x v="11"/>
    <x v="1"/>
    <x v="1"/>
    <s v="Evening"/>
    <n v="0.49"/>
    <n v="8"/>
    <n v="207"/>
    <n v="215"/>
    <n v="0.31819999999999998"/>
    <n v="0.1045"/>
    <x v="5"/>
  </r>
  <r>
    <n v="450"/>
    <d v="2011-01-20T00:00:00"/>
    <n v="1"/>
    <n v="18"/>
    <b v="0"/>
    <n v="4"/>
    <n v="2"/>
    <x v="12"/>
    <x v="1"/>
    <x v="1"/>
    <s v="Evening"/>
    <n v="0.56000000000000005"/>
    <n v="1"/>
    <n v="184"/>
    <n v="185"/>
    <n v="0.2576"/>
    <n v="0.19400000000000001"/>
    <x v="5"/>
  </r>
  <r>
    <n v="451"/>
    <d v="2011-01-20T00:00:00"/>
    <n v="1"/>
    <n v="19"/>
    <b v="0"/>
    <n v="4"/>
    <n v="1"/>
    <x v="12"/>
    <x v="1"/>
    <x v="0"/>
    <s v="Evening"/>
    <n v="0.56000000000000005"/>
    <n v="6"/>
    <n v="146"/>
    <n v="152"/>
    <n v="0.2273"/>
    <n v="0.32840000000000003"/>
    <x v="5"/>
  </r>
  <r>
    <n v="452"/>
    <d v="2011-01-20T00:00:00"/>
    <n v="1"/>
    <n v="20"/>
    <b v="0"/>
    <n v="4"/>
    <n v="2"/>
    <x v="12"/>
    <x v="1"/>
    <x v="1"/>
    <s v="Evening"/>
    <n v="0.6"/>
    <n v="2"/>
    <n v="124"/>
    <n v="126"/>
    <n v="0.2424"/>
    <n v="0.28360000000000002"/>
    <x v="5"/>
  </r>
  <r>
    <n v="453"/>
    <d v="2011-01-20T00:00:00"/>
    <n v="1"/>
    <n v="21"/>
    <b v="0"/>
    <n v="4"/>
    <n v="2"/>
    <x v="0"/>
    <x v="1"/>
    <x v="1"/>
    <s v="Night"/>
    <n v="0.6"/>
    <n v="3"/>
    <n v="54"/>
    <n v="57"/>
    <n v="0.2273"/>
    <n v="0.25369999999999998"/>
    <x v="5"/>
  </r>
  <r>
    <n v="454"/>
    <d v="2011-01-20T00:00:00"/>
    <n v="1"/>
    <n v="22"/>
    <b v="0"/>
    <n v="4"/>
    <n v="2"/>
    <x v="0"/>
    <x v="1"/>
    <x v="1"/>
    <s v="Night"/>
    <n v="0.65"/>
    <n v="0"/>
    <n v="56"/>
    <n v="56"/>
    <n v="0.21210000000000001"/>
    <n v="0.28360000000000002"/>
    <x v="5"/>
  </r>
  <r>
    <n v="455"/>
    <d v="2011-01-20T00:00:00"/>
    <n v="1"/>
    <n v="23"/>
    <b v="0"/>
    <n v="4"/>
    <n v="2"/>
    <x v="0"/>
    <x v="1"/>
    <x v="1"/>
    <s v="Night"/>
    <n v="0.65"/>
    <n v="3"/>
    <n v="28"/>
    <n v="31"/>
    <n v="0.21210000000000001"/>
    <n v="0.32840000000000003"/>
    <x v="5"/>
  </r>
  <r>
    <n v="456"/>
    <d v="2011-01-21T00:00:00"/>
    <n v="1"/>
    <n v="0"/>
    <b v="0"/>
    <n v="5"/>
    <n v="2"/>
    <x v="0"/>
    <x v="1"/>
    <x v="1"/>
    <s v="Morning"/>
    <n v="0.7"/>
    <n v="1"/>
    <n v="20"/>
    <n v="21"/>
    <n v="0.2273"/>
    <n v="0.25369999999999998"/>
    <x v="6"/>
  </r>
  <r>
    <n v="457"/>
    <d v="2011-01-21T00:00:00"/>
    <n v="1"/>
    <n v="1"/>
    <b v="0"/>
    <n v="5"/>
    <n v="2"/>
    <x v="0"/>
    <x v="1"/>
    <x v="1"/>
    <s v="Morning"/>
    <n v="0.7"/>
    <n v="0"/>
    <n v="6"/>
    <n v="6"/>
    <n v="0.2273"/>
    <n v="0.25369999999999998"/>
    <x v="6"/>
  </r>
  <r>
    <n v="458"/>
    <d v="2011-01-21T00:00:00"/>
    <n v="1"/>
    <n v="2"/>
    <b v="0"/>
    <n v="5"/>
    <n v="3"/>
    <x v="0"/>
    <x v="1"/>
    <x v="2"/>
    <s v="Morning"/>
    <n v="0.75"/>
    <n v="0"/>
    <n v="2"/>
    <n v="2"/>
    <n v="0.2424"/>
    <n v="0.16420000000000001"/>
    <x v="6"/>
  </r>
  <r>
    <n v="459"/>
    <d v="2011-01-21T00:00:00"/>
    <n v="1"/>
    <n v="3"/>
    <b v="0"/>
    <n v="5"/>
    <n v="3"/>
    <x v="1"/>
    <x v="1"/>
    <x v="2"/>
    <s v="Morning"/>
    <n v="0.8"/>
    <n v="0"/>
    <n v="1"/>
    <n v="1"/>
    <n v="0.21210000000000001"/>
    <n v="0.29849999999999999"/>
    <x v="6"/>
  </r>
  <r>
    <n v="460"/>
    <d v="2011-01-21T00:00:00"/>
    <n v="1"/>
    <n v="4"/>
    <b v="0"/>
    <n v="5"/>
    <n v="2"/>
    <x v="1"/>
    <x v="1"/>
    <x v="1"/>
    <s v="Morning"/>
    <n v="0.87"/>
    <n v="0"/>
    <n v="1"/>
    <n v="1"/>
    <n v="0.2576"/>
    <n v="8.9599999999999999E-2"/>
    <x v="6"/>
  </r>
  <r>
    <n v="461"/>
    <d v="2011-01-21T00:00:00"/>
    <n v="1"/>
    <n v="5"/>
    <b v="0"/>
    <n v="5"/>
    <n v="1"/>
    <x v="0"/>
    <x v="1"/>
    <x v="0"/>
    <s v="Morning"/>
    <n v="0.6"/>
    <n v="1"/>
    <n v="4"/>
    <n v="5"/>
    <n v="0.19700000000000001"/>
    <n v="0.41789999999999999"/>
    <x v="6"/>
  </r>
  <r>
    <n v="462"/>
    <d v="2011-01-21T00:00:00"/>
    <n v="1"/>
    <n v="6"/>
    <b v="0"/>
    <n v="5"/>
    <n v="1"/>
    <x v="1"/>
    <x v="1"/>
    <x v="0"/>
    <s v="Morning"/>
    <n v="0.55000000000000004"/>
    <n v="0"/>
    <n v="27"/>
    <n v="27"/>
    <n v="0.21210000000000001"/>
    <n v="0.25369999999999998"/>
    <x v="6"/>
  </r>
  <r>
    <n v="463"/>
    <d v="2011-01-21T00:00:00"/>
    <n v="1"/>
    <n v="7"/>
    <b v="0"/>
    <n v="5"/>
    <n v="1"/>
    <x v="2"/>
    <x v="1"/>
    <x v="0"/>
    <s v="Morning"/>
    <n v="0.51"/>
    <n v="2"/>
    <n v="66"/>
    <n v="68"/>
    <n v="0.18179999999999999"/>
    <n v="0.28360000000000002"/>
    <x v="6"/>
  </r>
  <r>
    <n v="464"/>
    <d v="2011-01-21T00:00:00"/>
    <n v="1"/>
    <n v="8"/>
    <b v="0"/>
    <n v="5"/>
    <n v="1"/>
    <x v="2"/>
    <x v="1"/>
    <x v="0"/>
    <s v="Morning"/>
    <n v="0.47"/>
    <n v="7"/>
    <n v="210"/>
    <n v="217"/>
    <n v="0.18179999999999999"/>
    <n v="0.32840000000000003"/>
    <x v="6"/>
  </r>
  <r>
    <n v="465"/>
    <d v="2011-01-21T00:00:00"/>
    <n v="1"/>
    <n v="9"/>
    <b v="0"/>
    <n v="5"/>
    <n v="1"/>
    <x v="2"/>
    <x v="1"/>
    <x v="0"/>
    <s v="Morning"/>
    <n v="0.51"/>
    <n v="7"/>
    <n v="159"/>
    <n v="166"/>
    <n v="0.18179999999999999"/>
    <n v="0.35820000000000002"/>
    <x v="6"/>
  </r>
  <r>
    <n v="466"/>
    <d v="2011-01-21T00:00:00"/>
    <n v="1"/>
    <n v="10"/>
    <b v="0"/>
    <n v="5"/>
    <n v="1"/>
    <x v="2"/>
    <x v="1"/>
    <x v="0"/>
    <s v="Morning"/>
    <n v="0.47"/>
    <n v="6"/>
    <n v="57"/>
    <n v="63"/>
    <n v="0.16669999999999999"/>
    <n v="0.4627"/>
    <x v="6"/>
  </r>
  <r>
    <n v="467"/>
    <d v="2011-01-21T00:00:00"/>
    <n v="1"/>
    <n v="11"/>
    <b v="0"/>
    <n v="5"/>
    <n v="1"/>
    <x v="1"/>
    <x v="1"/>
    <x v="0"/>
    <s v="Morning"/>
    <n v="0.41"/>
    <n v="6"/>
    <n v="53"/>
    <n v="59"/>
    <n v="0.18179999999999999"/>
    <n v="0.4627"/>
    <x v="6"/>
  </r>
  <r>
    <n v="468"/>
    <d v="2011-01-21T00:00:00"/>
    <n v="1"/>
    <n v="12"/>
    <b v="0"/>
    <n v="5"/>
    <n v="1"/>
    <x v="1"/>
    <x v="1"/>
    <x v="0"/>
    <s v="Afternoon"/>
    <n v="0.27"/>
    <n v="11"/>
    <n v="67"/>
    <n v="78"/>
    <n v="0.18179999999999999"/>
    <n v="0.58209999999999995"/>
    <x v="6"/>
  </r>
  <r>
    <n v="469"/>
    <d v="2011-01-21T00:00:00"/>
    <n v="1"/>
    <n v="13"/>
    <b v="0"/>
    <n v="5"/>
    <n v="1"/>
    <x v="2"/>
    <x v="1"/>
    <x v="0"/>
    <s v="Afternoon"/>
    <n v="0.21"/>
    <n v="8"/>
    <n v="65"/>
    <n v="73"/>
    <n v="0.1515"/>
    <n v="0.58209999999999995"/>
    <x v="6"/>
  </r>
  <r>
    <n v="470"/>
    <d v="2011-01-21T00:00:00"/>
    <n v="1"/>
    <n v="14"/>
    <b v="0"/>
    <n v="5"/>
    <n v="1"/>
    <x v="2"/>
    <x v="1"/>
    <x v="0"/>
    <s v="Afternoon"/>
    <n v="0.25"/>
    <n v="6"/>
    <n v="56"/>
    <n v="62"/>
    <n v="0.1515"/>
    <n v="0.52239999999999998"/>
    <x v="6"/>
  </r>
  <r>
    <n v="471"/>
    <d v="2011-01-21T00:00:00"/>
    <n v="1"/>
    <n v="15"/>
    <b v="0"/>
    <n v="5"/>
    <n v="1"/>
    <x v="13"/>
    <x v="1"/>
    <x v="0"/>
    <s v="Afternoon"/>
    <n v="0.26"/>
    <n v="4"/>
    <n v="61"/>
    <n v="65"/>
    <n v="0.1212"/>
    <n v="0.44779999999999998"/>
    <x v="6"/>
  </r>
  <r>
    <n v="472"/>
    <d v="2011-01-21T00:00:00"/>
    <n v="1"/>
    <n v="16"/>
    <b v="0"/>
    <n v="5"/>
    <n v="1"/>
    <x v="13"/>
    <x v="1"/>
    <x v="0"/>
    <s v="Afternoon"/>
    <n v="0.26"/>
    <n v="0"/>
    <n v="97"/>
    <n v="97"/>
    <n v="0.13639999999999999"/>
    <n v="0.35820000000000002"/>
    <x v="6"/>
  </r>
  <r>
    <n v="473"/>
    <d v="2011-01-21T00:00:00"/>
    <n v="1"/>
    <n v="17"/>
    <b v="0"/>
    <n v="5"/>
    <n v="1"/>
    <x v="14"/>
    <x v="1"/>
    <x v="0"/>
    <s v="Evening"/>
    <n v="0.28000000000000003"/>
    <n v="10"/>
    <n v="151"/>
    <n v="161"/>
    <n v="0.1212"/>
    <n v="0.35820000000000002"/>
    <x v="6"/>
  </r>
  <r>
    <n v="474"/>
    <d v="2011-01-21T00:00:00"/>
    <n v="1"/>
    <n v="18"/>
    <b v="0"/>
    <n v="5"/>
    <n v="1"/>
    <x v="16"/>
    <x v="1"/>
    <x v="0"/>
    <s v="Evening"/>
    <n v="0.3"/>
    <n v="1"/>
    <n v="119"/>
    <n v="120"/>
    <n v="0.1212"/>
    <n v="0.25369999999999998"/>
    <x v="6"/>
  </r>
  <r>
    <n v="475"/>
    <d v="2011-01-21T00:00:00"/>
    <n v="1"/>
    <n v="19"/>
    <b v="0"/>
    <n v="5"/>
    <n v="1"/>
    <x v="16"/>
    <x v="1"/>
    <x v="0"/>
    <s v="Evening"/>
    <n v="0.3"/>
    <n v="3"/>
    <n v="93"/>
    <n v="96"/>
    <n v="0.1061"/>
    <n v="0.32840000000000003"/>
    <x v="6"/>
  </r>
  <r>
    <n v="476"/>
    <d v="2011-01-21T00:00:00"/>
    <n v="1"/>
    <n v="20"/>
    <b v="0"/>
    <n v="5"/>
    <n v="1"/>
    <x v="18"/>
    <x v="1"/>
    <x v="0"/>
    <s v="Evening"/>
    <n v="0.33"/>
    <n v="1"/>
    <n v="52"/>
    <n v="53"/>
    <n v="7.5800000000000006E-2"/>
    <n v="0.41789999999999999"/>
    <x v="6"/>
  </r>
  <r>
    <n v="477"/>
    <d v="2011-01-21T00:00:00"/>
    <n v="1"/>
    <n v="21"/>
    <b v="0"/>
    <n v="5"/>
    <n v="1"/>
    <x v="19"/>
    <x v="1"/>
    <x v="0"/>
    <s v="Night"/>
    <n v="0.38"/>
    <n v="0"/>
    <n v="41"/>
    <n v="41"/>
    <n v="7.5800000000000006E-2"/>
    <n v="0.28360000000000002"/>
    <x v="6"/>
  </r>
  <r>
    <n v="478"/>
    <d v="2011-01-21T00:00:00"/>
    <n v="1"/>
    <n v="22"/>
    <b v="0"/>
    <n v="5"/>
    <n v="1"/>
    <x v="20"/>
    <x v="1"/>
    <x v="0"/>
    <s v="Night"/>
    <n v="0.41"/>
    <n v="1"/>
    <n v="33"/>
    <n v="34"/>
    <n v="3.0300000000000001E-2"/>
    <n v="0.3881"/>
    <x v="6"/>
  </r>
  <r>
    <n v="479"/>
    <d v="2011-01-21T00:00:00"/>
    <n v="1"/>
    <n v="23"/>
    <b v="0"/>
    <n v="5"/>
    <n v="1"/>
    <x v="20"/>
    <x v="1"/>
    <x v="0"/>
    <s v="Night"/>
    <n v="0.38"/>
    <n v="0"/>
    <n v="27"/>
    <n v="27"/>
    <n v="4.5499999999999999E-2"/>
    <n v="0.32840000000000003"/>
    <x v="6"/>
  </r>
  <r>
    <n v="480"/>
    <d v="2011-01-22T00:00:00"/>
    <n v="1"/>
    <n v="0"/>
    <b v="0"/>
    <n v="6"/>
    <n v="1"/>
    <x v="21"/>
    <x v="0"/>
    <x v="0"/>
    <s v="Morning"/>
    <n v="0.45"/>
    <n v="0"/>
    <n v="13"/>
    <n v="13"/>
    <n v="3.0300000000000001E-2"/>
    <n v="0.25369999999999998"/>
    <x v="0"/>
  </r>
  <r>
    <n v="481"/>
    <d v="2011-01-22T00:00:00"/>
    <n v="1"/>
    <n v="1"/>
    <b v="0"/>
    <n v="6"/>
    <n v="2"/>
    <x v="21"/>
    <x v="0"/>
    <x v="1"/>
    <s v="Morning"/>
    <n v="0.41"/>
    <n v="3"/>
    <n v="9"/>
    <n v="12"/>
    <n v="0"/>
    <n v="0.3881"/>
    <x v="0"/>
  </r>
  <r>
    <n v="482"/>
    <d v="2011-01-22T00:00:00"/>
    <n v="1"/>
    <n v="2"/>
    <b v="0"/>
    <n v="6"/>
    <n v="2"/>
    <x v="21"/>
    <x v="0"/>
    <x v="1"/>
    <s v="Morning"/>
    <n v="0.41"/>
    <n v="0"/>
    <n v="11"/>
    <n v="11"/>
    <n v="3.0300000000000001E-2"/>
    <n v="0.25369999999999998"/>
    <x v="0"/>
  </r>
  <r>
    <n v="483"/>
    <d v="2011-01-22T00:00:00"/>
    <n v="1"/>
    <n v="3"/>
    <b v="0"/>
    <n v="6"/>
    <n v="2"/>
    <x v="21"/>
    <x v="0"/>
    <x v="1"/>
    <s v="Morning"/>
    <n v="0.41"/>
    <n v="1"/>
    <n v="6"/>
    <n v="7"/>
    <n v="3.0300000000000001E-2"/>
    <n v="0.28360000000000002"/>
    <x v="0"/>
  </r>
  <r>
    <n v="484"/>
    <d v="2011-01-22T00:00:00"/>
    <n v="1"/>
    <n v="4"/>
    <b v="0"/>
    <n v="6"/>
    <n v="2"/>
    <x v="22"/>
    <x v="0"/>
    <x v="1"/>
    <s v="Morning"/>
    <n v="0.48"/>
    <n v="0"/>
    <n v="3"/>
    <n v="3"/>
    <n v="1.52E-2"/>
    <n v="0.29849999999999999"/>
    <x v="0"/>
  </r>
  <r>
    <n v="485"/>
    <d v="2011-01-22T00:00:00"/>
    <n v="1"/>
    <n v="6"/>
    <b v="0"/>
    <n v="6"/>
    <n v="2"/>
    <x v="22"/>
    <x v="0"/>
    <x v="1"/>
    <s v="Morning"/>
    <n v="0.44"/>
    <n v="0"/>
    <n v="2"/>
    <n v="2"/>
    <n v="3.0300000000000001E-2"/>
    <n v="0.22389999999999999"/>
    <x v="0"/>
  </r>
  <r>
    <n v="486"/>
    <d v="2011-01-22T00:00:00"/>
    <n v="1"/>
    <n v="7"/>
    <b v="0"/>
    <n v="6"/>
    <n v="1"/>
    <x v="22"/>
    <x v="0"/>
    <x v="0"/>
    <s v="Morning"/>
    <n v="0.44"/>
    <n v="0"/>
    <n v="8"/>
    <n v="8"/>
    <n v="1.52E-2"/>
    <n v="0.28360000000000002"/>
    <x v="0"/>
  </r>
  <r>
    <n v="487"/>
    <d v="2011-01-22T00:00:00"/>
    <n v="1"/>
    <n v="8"/>
    <b v="0"/>
    <n v="6"/>
    <n v="1"/>
    <x v="22"/>
    <x v="0"/>
    <x v="0"/>
    <s v="Morning"/>
    <n v="0.44"/>
    <n v="1"/>
    <n v="26"/>
    <n v="27"/>
    <n v="0"/>
    <n v="0.32840000000000003"/>
    <x v="0"/>
  </r>
  <r>
    <n v="488"/>
    <d v="2011-01-22T00:00:00"/>
    <n v="1"/>
    <n v="9"/>
    <b v="0"/>
    <n v="6"/>
    <n v="1"/>
    <x v="21"/>
    <x v="0"/>
    <x v="0"/>
    <s v="Morning"/>
    <n v="0.41"/>
    <n v="3"/>
    <n v="37"/>
    <n v="40"/>
    <n v="3.0300000000000001E-2"/>
    <n v="0.25369999999999998"/>
    <x v="0"/>
  </r>
  <r>
    <n v="489"/>
    <d v="2011-01-22T00:00:00"/>
    <n v="1"/>
    <n v="10"/>
    <b v="0"/>
    <n v="6"/>
    <n v="2"/>
    <x v="21"/>
    <x v="0"/>
    <x v="1"/>
    <s v="Morning"/>
    <n v="0.41"/>
    <n v="3"/>
    <n v="50"/>
    <n v="53"/>
    <n v="6.0600000000000001E-2"/>
    <n v="0.16420000000000001"/>
    <x v="0"/>
  </r>
  <r>
    <n v="490"/>
    <d v="2011-01-22T00:00:00"/>
    <n v="1"/>
    <n v="11"/>
    <b v="0"/>
    <n v="6"/>
    <n v="2"/>
    <x v="20"/>
    <x v="0"/>
    <x v="1"/>
    <s v="Morning"/>
    <n v="0.38"/>
    <n v="4"/>
    <n v="59"/>
    <n v="63"/>
    <n v="7.5800000000000006E-2"/>
    <n v="0.1343"/>
    <x v="0"/>
  </r>
  <r>
    <n v="491"/>
    <d v="2011-01-22T00:00:00"/>
    <n v="1"/>
    <n v="12"/>
    <b v="0"/>
    <n v="6"/>
    <n v="2"/>
    <x v="20"/>
    <x v="0"/>
    <x v="1"/>
    <s v="Afternoon"/>
    <n v="0.38"/>
    <n v="10"/>
    <n v="60"/>
    <n v="70"/>
    <n v="0.1061"/>
    <n v="0.1045"/>
    <x v="0"/>
  </r>
  <r>
    <n v="492"/>
    <d v="2011-01-22T00:00:00"/>
    <n v="1"/>
    <n v="13"/>
    <b v="0"/>
    <n v="6"/>
    <n v="1"/>
    <x v="19"/>
    <x v="0"/>
    <x v="0"/>
    <s v="Afternoon"/>
    <n v="0.35"/>
    <n v="12"/>
    <n v="72"/>
    <n v="84"/>
    <n v="0.16669999999999999"/>
    <n v="0"/>
    <x v="0"/>
  </r>
  <r>
    <n v="493"/>
    <d v="2011-01-22T00:00:00"/>
    <n v="1"/>
    <n v="14"/>
    <b v="0"/>
    <n v="6"/>
    <n v="1"/>
    <x v="18"/>
    <x v="0"/>
    <x v="0"/>
    <s v="Afternoon"/>
    <n v="0.33"/>
    <n v="11"/>
    <n v="64"/>
    <n v="75"/>
    <n v="0.13639999999999999"/>
    <n v="0.1045"/>
    <x v="0"/>
  </r>
  <r>
    <n v="494"/>
    <d v="2011-01-22T00:00:00"/>
    <n v="1"/>
    <n v="15"/>
    <b v="0"/>
    <n v="6"/>
    <n v="1"/>
    <x v="16"/>
    <x v="0"/>
    <x v="0"/>
    <s v="Afternoon"/>
    <n v="0.28000000000000003"/>
    <n v="10"/>
    <n v="93"/>
    <n v="103"/>
    <n v="0.1515"/>
    <n v="0"/>
    <x v="0"/>
  </r>
  <r>
    <n v="495"/>
    <d v="2011-01-22T00:00:00"/>
    <n v="1"/>
    <n v="16"/>
    <b v="0"/>
    <n v="6"/>
    <n v="1"/>
    <x v="16"/>
    <x v="0"/>
    <x v="0"/>
    <s v="Afternoon"/>
    <n v="0.28000000000000003"/>
    <n v="11"/>
    <n v="72"/>
    <n v="83"/>
    <n v="0.13639999999999999"/>
    <n v="0.19400000000000001"/>
    <x v="0"/>
  </r>
  <r>
    <n v="496"/>
    <d v="2011-01-22T00:00:00"/>
    <n v="1"/>
    <n v="17"/>
    <b v="0"/>
    <n v="6"/>
    <n v="1"/>
    <x v="16"/>
    <x v="0"/>
    <x v="0"/>
    <s v="Evening"/>
    <n v="0.28000000000000003"/>
    <n v="8"/>
    <n v="59"/>
    <n v="67"/>
    <n v="0.19700000000000001"/>
    <n v="0"/>
    <x v="0"/>
  </r>
  <r>
    <n v="497"/>
    <d v="2011-01-22T00:00:00"/>
    <n v="1"/>
    <n v="18"/>
    <b v="0"/>
    <n v="6"/>
    <n v="1"/>
    <x v="19"/>
    <x v="0"/>
    <x v="0"/>
    <s v="Evening"/>
    <n v="0.35"/>
    <n v="0"/>
    <n v="54"/>
    <n v="54"/>
    <n v="9.0899999999999995E-2"/>
    <n v="0.19400000000000001"/>
    <x v="0"/>
  </r>
  <r>
    <n v="498"/>
    <d v="2011-01-22T00:00:00"/>
    <n v="1"/>
    <n v="19"/>
    <b v="0"/>
    <n v="6"/>
    <n v="1"/>
    <x v="19"/>
    <x v="0"/>
    <x v="0"/>
    <s v="Evening"/>
    <n v="0.35"/>
    <n v="6"/>
    <n v="53"/>
    <n v="59"/>
    <n v="0.1061"/>
    <n v="0.1343"/>
    <x v="0"/>
  </r>
  <r>
    <n v="499"/>
    <d v="2011-01-22T00:00:00"/>
    <n v="1"/>
    <n v="20"/>
    <b v="0"/>
    <n v="6"/>
    <n v="1"/>
    <x v="20"/>
    <x v="0"/>
    <x v="0"/>
    <s v="Evening"/>
    <n v="0.45"/>
    <n v="1"/>
    <n v="44"/>
    <n v="45"/>
    <n v="7.5800000000000006E-2"/>
    <n v="0.16420000000000001"/>
    <x v="0"/>
  </r>
  <r>
    <n v="500"/>
    <d v="2011-01-22T00:00:00"/>
    <n v="1"/>
    <n v="21"/>
    <b v="0"/>
    <n v="6"/>
    <n v="1"/>
    <x v="20"/>
    <x v="0"/>
    <x v="0"/>
    <s v="Night"/>
    <n v="0.41"/>
    <n v="0"/>
    <n v="39"/>
    <n v="39"/>
    <n v="0.1061"/>
    <n v="8.9599999999999999E-2"/>
    <x v="0"/>
  </r>
  <r>
    <n v="501"/>
    <d v="2011-01-22T00:00:00"/>
    <n v="1"/>
    <n v="22"/>
    <b v="0"/>
    <n v="6"/>
    <n v="1"/>
    <x v="20"/>
    <x v="0"/>
    <x v="0"/>
    <s v="Night"/>
    <n v="0.49"/>
    <n v="7"/>
    <n v="23"/>
    <n v="30"/>
    <n v="0.1515"/>
    <n v="0"/>
    <x v="0"/>
  </r>
  <r>
    <n v="502"/>
    <d v="2011-01-22T00:00:00"/>
    <n v="1"/>
    <n v="23"/>
    <b v="0"/>
    <n v="6"/>
    <n v="1"/>
    <x v="21"/>
    <x v="0"/>
    <x v="0"/>
    <s v="Night"/>
    <n v="0.56999999999999995"/>
    <n v="2"/>
    <n v="31"/>
    <n v="33"/>
    <n v="7.5800000000000006E-2"/>
    <n v="0.1045"/>
    <x v="0"/>
  </r>
  <r>
    <n v="503"/>
    <d v="2011-01-23T00:00:00"/>
    <n v="1"/>
    <n v="0"/>
    <b v="0"/>
    <n v="0"/>
    <n v="1"/>
    <x v="21"/>
    <x v="1"/>
    <x v="0"/>
    <s v="Morning"/>
    <n v="0.56999999999999995"/>
    <n v="2"/>
    <n v="20"/>
    <n v="22"/>
    <n v="7.5800000000000006E-2"/>
    <n v="0.1045"/>
    <x v="1"/>
  </r>
  <r>
    <n v="504"/>
    <d v="2011-01-23T00:00:00"/>
    <n v="1"/>
    <n v="1"/>
    <b v="0"/>
    <n v="0"/>
    <n v="1"/>
    <x v="21"/>
    <x v="1"/>
    <x v="0"/>
    <s v="Morning"/>
    <n v="0.56999999999999995"/>
    <n v="1"/>
    <n v="12"/>
    <n v="13"/>
    <n v="7.5800000000000006E-2"/>
    <n v="0.1045"/>
    <x v="1"/>
  </r>
  <r>
    <n v="505"/>
    <d v="2011-01-23T00:00:00"/>
    <n v="1"/>
    <n v="2"/>
    <b v="0"/>
    <n v="0"/>
    <n v="1"/>
    <x v="22"/>
    <x v="1"/>
    <x v="0"/>
    <s v="Morning"/>
    <n v="0.62"/>
    <n v="3"/>
    <n v="15"/>
    <n v="18"/>
    <n v="6.0600000000000001E-2"/>
    <n v="0.1343"/>
    <x v="1"/>
  </r>
  <r>
    <n v="506"/>
    <d v="2011-01-23T00:00:00"/>
    <n v="1"/>
    <n v="3"/>
    <b v="0"/>
    <n v="0"/>
    <n v="1"/>
    <x v="22"/>
    <x v="1"/>
    <x v="0"/>
    <s v="Morning"/>
    <n v="0.62"/>
    <n v="1"/>
    <n v="4"/>
    <n v="5"/>
    <n v="6.0600000000000001E-2"/>
    <n v="0.1343"/>
    <x v="1"/>
  </r>
  <r>
    <n v="507"/>
    <d v="2011-01-23T00:00:00"/>
    <n v="1"/>
    <n v="5"/>
    <b v="0"/>
    <n v="0"/>
    <n v="2"/>
    <x v="21"/>
    <x v="1"/>
    <x v="1"/>
    <s v="Morning"/>
    <n v="0.56999999999999995"/>
    <n v="0"/>
    <n v="3"/>
    <n v="3"/>
    <n v="7.5800000000000006E-2"/>
    <n v="0.1045"/>
    <x v="1"/>
  </r>
  <r>
    <n v="508"/>
    <d v="2011-01-23T00:00:00"/>
    <n v="1"/>
    <n v="6"/>
    <b v="0"/>
    <n v="0"/>
    <n v="2"/>
    <x v="21"/>
    <x v="1"/>
    <x v="1"/>
    <s v="Morning"/>
    <n v="0.56999999999999995"/>
    <n v="0"/>
    <n v="1"/>
    <n v="1"/>
    <n v="7.5800000000000006E-2"/>
    <n v="0.1045"/>
    <x v="1"/>
  </r>
  <r>
    <n v="509"/>
    <d v="2011-01-23T00:00:00"/>
    <n v="1"/>
    <n v="7"/>
    <b v="0"/>
    <n v="0"/>
    <n v="1"/>
    <x v="19"/>
    <x v="1"/>
    <x v="0"/>
    <s v="Morning"/>
    <n v="0.57999999999999996"/>
    <n v="1"/>
    <n v="1"/>
    <n v="2"/>
    <n v="0.1061"/>
    <n v="0.16420000000000001"/>
    <x v="1"/>
  </r>
  <r>
    <n v="510"/>
    <d v="2011-01-23T00:00:00"/>
    <n v="1"/>
    <n v="8"/>
    <b v="0"/>
    <n v="0"/>
    <n v="1"/>
    <x v="20"/>
    <x v="1"/>
    <x v="0"/>
    <s v="Morning"/>
    <n v="0.62"/>
    <n v="2"/>
    <n v="17"/>
    <n v="19"/>
    <n v="7.5800000000000006E-2"/>
    <n v="0.16420000000000001"/>
    <x v="1"/>
  </r>
  <r>
    <n v="511"/>
    <d v="2011-01-23T00:00:00"/>
    <n v="1"/>
    <n v="9"/>
    <b v="0"/>
    <n v="0"/>
    <n v="1"/>
    <x v="18"/>
    <x v="1"/>
    <x v="0"/>
    <s v="Morning"/>
    <n v="0.54"/>
    <n v="3"/>
    <n v="25"/>
    <n v="28"/>
    <n v="7.5800000000000006E-2"/>
    <n v="0.35820000000000002"/>
    <x v="1"/>
  </r>
  <r>
    <n v="512"/>
    <d v="2011-01-23T00:00:00"/>
    <n v="1"/>
    <n v="10"/>
    <b v="0"/>
    <n v="0"/>
    <n v="1"/>
    <x v="14"/>
    <x v="1"/>
    <x v="0"/>
    <s v="Morning"/>
    <n v="0.46"/>
    <n v="7"/>
    <n v="51"/>
    <n v="58"/>
    <n v="0.1061"/>
    <n v="0.3881"/>
    <x v="1"/>
  </r>
  <r>
    <n v="513"/>
    <d v="2011-01-23T00:00:00"/>
    <n v="1"/>
    <n v="11"/>
    <b v="0"/>
    <n v="0"/>
    <n v="1"/>
    <x v="14"/>
    <x v="1"/>
    <x v="0"/>
    <s v="Morning"/>
    <n v="0.43"/>
    <n v="22"/>
    <n v="77"/>
    <n v="99"/>
    <n v="0.13639999999999999"/>
    <n v="0.22389999999999999"/>
    <x v="1"/>
  </r>
  <r>
    <n v="514"/>
    <d v="2011-01-23T00:00:00"/>
    <n v="1"/>
    <n v="12"/>
    <b v="0"/>
    <n v="0"/>
    <n v="1"/>
    <x v="13"/>
    <x v="1"/>
    <x v="0"/>
    <s v="Afternoon"/>
    <n v="0.37"/>
    <n v="24"/>
    <n v="92"/>
    <n v="116"/>
    <n v="0.1212"/>
    <n v="0.4627"/>
    <x v="1"/>
  </r>
  <r>
    <n v="515"/>
    <d v="2011-01-23T00:00:00"/>
    <n v="1"/>
    <n v="13"/>
    <b v="0"/>
    <n v="0"/>
    <n v="1"/>
    <x v="14"/>
    <x v="1"/>
    <x v="0"/>
    <s v="Afternoon"/>
    <n v="0.33"/>
    <n v="12"/>
    <n v="75"/>
    <n v="87"/>
    <n v="0.1061"/>
    <n v="0.3881"/>
    <x v="1"/>
  </r>
  <r>
    <n v="516"/>
    <d v="2011-01-23T00:00:00"/>
    <n v="1"/>
    <n v="14"/>
    <b v="0"/>
    <n v="0"/>
    <n v="1"/>
    <x v="13"/>
    <x v="1"/>
    <x v="0"/>
    <s v="Afternoon"/>
    <n v="0.28000000000000003"/>
    <n v="17"/>
    <n v="93"/>
    <n v="110"/>
    <n v="0.13639999999999999"/>
    <n v="0.35820000000000002"/>
    <x v="1"/>
  </r>
  <r>
    <n v="517"/>
    <d v="2011-01-23T00:00:00"/>
    <n v="1"/>
    <n v="15"/>
    <b v="0"/>
    <n v="0"/>
    <n v="1"/>
    <x v="13"/>
    <x v="1"/>
    <x v="0"/>
    <s v="Afternoon"/>
    <n v="0.28000000000000003"/>
    <n v="13"/>
    <n v="64"/>
    <n v="77"/>
    <n v="0.13639999999999999"/>
    <n v="0.35820000000000002"/>
    <x v="1"/>
  </r>
  <r>
    <n v="518"/>
    <d v="2011-01-23T00:00:00"/>
    <n v="1"/>
    <n v="16"/>
    <b v="0"/>
    <n v="0"/>
    <n v="1"/>
    <x v="13"/>
    <x v="1"/>
    <x v="0"/>
    <s v="Afternoon"/>
    <n v="0.26"/>
    <n v="9"/>
    <n v="56"/>
    <n v="65"/>
    <n v="0.13639999999999999"/>
    <n v="0.32840000000000003"/>
    <x v="1"/>
  </r>
  <r>
    <n v="519"/>
    <d v="2011-01-23T00:00:00"/>
    <n v="1"/>
    <n v="17"/>
    <b v="0"/>
    <n v="0"/>
    <n v="1"/>
    <x v="14"/>
    <x v="1"/>
    <x v="0"/>
    <s v="Evening"/>
    <n v="0.26"/>
    <n v="5"/>
    <n v="50"/>
    <n v="55"/>
    <n v="0.1061"/>
    <n v="0.3881"/>
    <x v="1"/>
  </r>
  <r>
    <n v="520"/>
    <d v="2011-01-23T00:00:00"/>
    <n v="1"/>
    <n v="18"/>
    <b v="0"/>
    <n v="0"/>
    <n v="1"/>
    <x v="16"/>
    <x v="1"/>
    <x v="0"/>
    <s v="Evening"/>
    <n v="0.3"/>
    <n v="5"/>
    <n v="44"/>
    <n v="49"/>
    <n v="0.1212"/>
    <n v="0.25369999999999998"/>
    <x v="1"/>
  </r>
  <r>
    <n v="521"/>
    <d v="2011-01-23T00:00:00"/>
    <n v="1"/>
    <n v="19"/>
    <b v="0"/>
    <n v="0"/>
    <n v="1"/>
    <x v="16"/>
    <x v="1"/>
    <x v="0"/>
    <s v="Evening"/>
    <n v="0.3"/>
    <n v="5"/>
    <n v="45"/>
    <n v="50"/>
    <n v="0.1212"/>
    <n v="0.28360000000000002"/>
    <x v="1"/>
  </r>
  <r>
    <n v="522"/>
    <d v="2011-01-23T00:00:00"/>
    <n v="1"/>
    <n v="20"/>
    <b v="0"/>
    <n v="0"/>
    <n v="1"/>
    <x v="18"/>
    <x v="1"/>
    <x v="0"/>
    <s v="Evening"/>
    <n v="0.36"/>
    <n v="4"/>
    <n v="31"/>
    <n v="35"/>
    <n v="0.1061"/>
    <n v="0.25369999999999998"/>
    <x v="1"/>
  </r>
  <r>
    <n v="523"/>
    <d v="2011-01-23T00:00:00"/>
    <n v="1"/>
    <n v="21"/>
    <b v="0"/>
    <n v="0"/>
    <n v="1"/>
    <x v="18"/>
    <x v="1"/>
    <x v="0"/>
    <s v="Night"/>
    <n v="0.36"/>
    <n v="5"/>
    <n v="20"/>
    <n v="25"/>
    <n v="0.1061"/>
    <n v="0.19400000000000001"/>
    <x v="1"/>
  </r>
  <r>
    <n v="524"/>
    <d v="2011-01-23T00:00:00"/>
    <n v="1"/>
    <n v="22"/>
    <b v="0"/>
    <n v="0"/>
    <n v="1"/>
    <x v="19"/>
    <x v="1"/>
    <x v="0"/>
    <s v="Night"/>
    <n v="0.38"/>
    <n v="5"/>
    <n v="23"/>
    <n v="28"/>
    <n v="9.0899999999999995E-2"/>
    <n v="0.19400000000000001"/>
    <x v="1"/>
  </r>
  <r>
    <n v="525"/>
    <d v="2011-01-23T00:00:00"/>
    <n v="1"/>
    <n v="23"/>
    <b v="0"/>
    <n v="0"/>
    <n v="1"/>
    <x v="20"/>
    <x v="1"/>
    <x v="0"/>
    <s v="Night"/>
    <n v="0.41"/>
    <n v="4"/>
    <n v="17"/>
    <n v="21"/>
    <n v="6.0600000000000001E-2"/>
    <n v="0.22389999999999999"/>
    <x v="1"/>
  </r>
  <r>
    <n v="526"/>
    <d v="2011-01-24T00:00:00"/>
    <n v="1"/>
    <n v="0"/>
    <b v="0"/>
    <n v="1"/>
    <n v="1"/>
    <x v="20"/>
    <x v="1"/>
    <x v="0"/>
    <s v="Morning"/>
    <n v="0.41"/>
    <n v="0"/>
    <n v="7"/>
    <n v="7"/>
    <n v="6.0600000000000001E-2"/>
    <n v="0.19400000000000001"/>
    <x v="2"/>
  </r>
  <r>
    <n v="527"/>
    <d v="2011-01-24T00:00:00"/>
    <n v="1"/>
    <n v="1"/>
    <b v="0"/>
    <n v="1"/>
    <n v="1"/>
    <x v="21"/>
    <x v="1"/>
    <x v="0"/>
    <s v="Morning"/>
    <n v="0.45"/>
    <n v="0"/>
    <n v="1"/>
    <n v="1"/>
    <n v="4.5499999999999999E-2"/>
    <n v="0.19400000000000001"/>
    <x v="2"/>
  </r>
  <r>
    <n v="528"/>
    <d v="2011-01-24T00:00:00"/>
    <n v="1"/>
    <n v="3"/>
    <b v="0"/>
    <n v="1"/>
    <n v="1"/>
    <x v="21"/>
    <x v="1"/>
    <x v="0"/>
    <s v="Morning"/>
    <n v="0.45"/>
    <n v="0"/>
    <n v="1"/>
    <n v="1"/>
    <n v="3.0300000000000001E-2"/>
    <n v="0.25369999999999998"/>
    <x v="2"/>
  </r>
  <r>
    <n v="529"/>
    <d v="2011-01-24T00:00:00"/>
    <n v="1"/>
    <n v="4"/>
    <b v="0"/>
    <n v="1"/>
    <n v="1"/>
    <x v="22"/>
    <x v="1"/>
    <x v="0"/>
    <s v="Morning"/>
    <n v="0.48"/>
    <n v="0"/>
    <n v="1"/>
    <n v="1"/>
    <n v="6.0600000000000001E-2"/>
    <n v="0.1343"/>
    <x v="2"/>
  </r>
  <r>
    <n v="530"/>
    <d v="2011-01-24T00:00:00"/>
    <n v="1"/>
    <n v="5"/>
    <b v="0"/>
    <n v="1"/>
    <n v="1"/>
    <x v="22"/>
    <x v="1"/>
    <x v="0"/>
    <s v="Morning"/>
    <n v="0.48"/>
    <n v="0"/>
    <n v="5"/>
    <n v="5"/>
    <n v="6.0600000000000001E-2"/>
    <n v="0.1343"/>
    <x v="2"/>
  </r>
  <r>
    <n v="531"/>
    <d v="2011-01-24T00:00:00"/>
    <n v="1"/>
    <n v="6"/>
    <b v="0"/>
    <n v="1"/>
    <n v="1"/>
    <x v="22"/>
    <x v="1"/>
    <x v="0"/>
    <s v="Morning"/>
    <n v="0.48"/>
    <n v="0"/>
    <n v="15"/>
    <n v="15"/>
    <n v="7.5800000000000006E-2"/>
    <n v="8.9599999999999999E-2"/>
    <x v="2"/>
  </r>
  <r>
    <n v="532"/>
    <d v="2011-01-24T00:00:00"/>
    <n v="1"/>
    <n v="7"/>
    <b v="0"/>
    <n v="1"/>
    <n v="1"/>
    <x v="22"/>
    <x v="1"/>
    <x v="0"/>
    <s v="Morning"/>
    <n v="0.48"/>
    <n v="5"/>
    <n v="79"/>
    <n v="84"/>
    <n v="0.1212"/>
    <n v="0"/>
    <x v="2"/>
  </r>
  <r>
    <n v="533"/>
    <d v="2011-01-24T00:00:00"/>
    <n v="1"/>
    <n v="8"/>
    <b v="0"/>
    <n v="1"/>
    <n v="1"/>
    <x v="21"/>
    <x v="1"/>
    <x v="0"/>
    <s v="Morning"/>
    <n v="0.49"/>
    <n v="6"/>
    <n v="171"/>
    <n v="177"/>
    <n v="0.13639999999999999"/>
    <n v="0"/>
    <x v="2"/>
  </r>
  <r>
    <n v="534"/>
    <d v="2011-01-24T00:00:00"/>
    <n v="1"/>
    <n v="9"/>
    <b v="0"/>
    <n v="1"/>
    <n v="1"/>
    <x v="20"/>
    <x v="1"/>
    <x v="0"/>
    <s v="Morning"/>
    <n v="0.41"/>
    <n v="4"/>
    <n v="98"/>
    <n v="102"/>
    <n v="0.1515"/>
    <n v="0"/>
    <x v="2"/>
  </r>
  <r>
    <n v="535"/>
    <d v="2011-01-24T00:00:00"/>
    <n v="1"/>
    <n v="10"/>
    <b v="0"/>
    <n v="1"/>
    <n v="1"/>
    <x v="18"/>
    <x v="1"/>
    <x v="0"/>
    <s v="Morning"/>
    <n v="0.42"/>
    <n v="6"/>
    <n v="34"/>
    <n v="40"/>
    <n v="0.13639999999999999"/>
    <n v="0"/>
    <x v="2"/>
  </r>
  <r>
    <n v="536"/>
    <d v="2011-01-24T00:00:00"/>
    <n v="1"/>
    <n v="11"/>
    <b v="0"/>
    <n v="1"/>
    <n v="1"/>
    <x v="18"/>
    <x v="1"/>
    <x v="0"/>
    <s v="Morning"/>
    <n v="0.46"/>
    <n v="3"/>
    <n v="43"/>
    <n v="46"/>
    <n v="0.1212"/>
    <n v="0.1343"/>
    <x v="2"/>
  </r>
  <r>
    <n v="537"/>
    <d v="2011-01-24T00:00:00"/>
    <n v="1"/>
    <n v="12"/>
    <b v="0"/>
    <n v="1"/>
    <n v="2"/>
    <x v="16"/>
    <x v="1"/>
    <x v="1"/>
    <s v="Afternoon"/>
    <n v="0.42"/>
    <n v="11"/>
    <n v="52"/>
    <n v="63"/>
    <n v="0.13639999999999999"/>
    <n v="0.19400000000000001"/>
    <x v="2"/>
  </r>
  <r>
    <n v="538"/>
    <d v="2011-01-24T00:00:00"/>
    <n v="1"/>
    <n v="13"/>
    <b v="0"/>
    <n v="1"/>
    <n v="2"/>
    <x v="14"/>
    <x v="1"/>
    <x v="1"/>
    <s v="Afternoon"/>
    <n v="0.43"/>
    <n v="6"/>
    <n v="54"/>
    <n v="60"/>
    <n v="0.13639999999999999"/>
    <n v="0.22389999999999999"/>
    <x v="2"/>
  </r>
  <r>
    <n v="539"/>
    <d v="2011-01-24T00:00:00"/>
    <n v="1"/>
    <n v="14"/>
    <b v="0"/>
    <n v="1"/>
    <n v="2"/>
    <x v="14"/>
    <x v="1"/>
    <x v="1"/>
    <s v="Afternoon"/>
    <n v="0.46"/>
    <n v="2"/>
    <n v="43"/>
    <n v="45"/>
    <n v="0.13639999999999999"/>
    <n v="0.22389999999999999"/>
    <x v="2"/>
  </r>
  <r>
    <n v="540"/>
    <d v="2011-01-24T00:00:00"/>
    <n v="1"/>
    <n v="15"/>
    <b v="0"/>
    <n v="1"/>
    <n v="1"/>
    <x v="13"/>
    <x v="1"/>
    <x v="0"/>
    <s v="Afternoon"/>
    <n v="0.4"/>
    <n v="7"/>
    <n v="50"/>
    <n v="57"/>
    <n v="0.16669999999999999"/>
    <n v="0.16420000000000001"/>
    <x v="2"/>
  </r>
  <r>
    <n v="541"/>
    <d v="2011-01-24T00:00:00"/>
    <n v="1"/>
    <n v="16"/>
    <b v="0"/>
    <n v="1"/>
    <n v="1"/>
    <x v="13"/>
    <x v="1"/>
    <x v="0"/>
    <s v="Afternoon"/>
    <n v="0.47"/>
    <n v="4"/>
    <n v="66"/>
    <n v="70"/>
    <n v="0.1515"/>
    <n v="0.25369999999999998"/>
    <x v="2"/>
  </r>
  <r>
    <n v="542"/>
    <d v="2011-01-24T00:00:00"/>
    <n v="1"/>
    <n v="17"/>
    <b v="0"/>
    <n v="1"/>
    <n v="1"/>
    <x v="14"/>
    <x v="1"/>
    <x v="0"/>
    <s v="Evening"/>
    <n v="0.5"/>
    <n v="6"/>
    <n v="178"/>
    <n v="184"/>
    <n v="0.1212"/>
    <n v="0.25369999999999998"/>
    <x v="2"/>
  </r>
  <r>
    <n v="543"/>
    <d v="2011-01-24T00:00:00"/>
    <n v="1"/>
    <n v="18"/>
    <b v="0"/>
    <n v="1"/>
    <n v="1"/>
    <x v="14"/>
    <x v="1"/>
    <x v="0"/>
    <s v="Evening"/>
    <n v="0.59"/>
    <n v="8"/>
    <n v="145"/>
    <n v="153"/>
    <n v="0.13639999999999999"/>
    <n v="0.19400000000000001"/>
    <x v="2"/>
  </r>
  <r>
    <n v="544"/>
    <d v="2011-01-24T00:00:00"/>
    <n v="1"/>
    <n v="19"/>
    <b v="0"/>
    <n v="1"/>
    <n v="1"/>
    <x v="14"/>
    <x v="1"/>
    <x v="0"/>
    <s v="Evening"/>
    <n v="0.54"/>
    <n v="5"/>
    <n v="101"/>
    <n v="106"/>
    <n v="0.1515"/>
    <n v="0.16420000000000001"/>
    <x v="2"/>
  </r>
  <r>
    <n v="545"/>
    <d v="2011-01-24T00:00:00"/>
    <n v="1"/>
    <n v="20"/>
    <b v="0"/>
    <n v="1"/>
    <n v="1"/>
    <x v="14"/>
    <x v="1"/>
    <x v="0"/>
    <s v="Evening"/>
    <n v="0.59"/>
    <n v="1"/>
    <n v="80"/>
    <n v="81"/>
    <n v="0.13639999999999999"/>
    <n v="0.19400000000000001"/>
    <x v="2"/>
  </r>
  <r>
    <n v="546"/>
    <d v="2011-01-24T00:00:00"/>
    <n v="1"/>
    <n v="21"/>
    <b v="0"/>
    <n v="1"/>
    <n v="1"/>
    <x v="14"/>
    <x v="1"/>
    <x v="0"/>
    <s v="Night"/>
    <n v="0.63"/>
    <n v="6"/>
    <n v="53"/>
    <n v="59"/>
    <n v="0.1515"/>
    <n v="0.16420000000000001"/>
    <x v="2"/>
  </r>
  <r>
    <n v="547"/>
    <d v="2011-01-24T00:00:00"/>
    <n v="1"/>
    <n v="22"/>
    <b v="0"/>
    <n v="1"/>
    <n v="2"/>
    <x v="14"/>
    <x v="1"/>
    <x v="1"/>
    <s v="Night"/>
    <n v="0.63"/>
    <n v="3"/>
    <n v="32"/>
    <n v="35"/>
    <n v="0.13639999999999999"/>
    <n v="0.22389999999999999"/>
    <x v="2"/>
  </r>
  <r>
    <n v="548"/>
    <d v="2011-01-24T00:00:00"/>
    <n v="1"/>
    <n v="23"/>
    <b v="0"/>
    <n v="1"/>
    <n v="2"/>
    <x v="13"/>
    <x v="1"/>
    <x v="1"/>
    <s v="Night"/>
    <n v="0.64"/>
    <n v="3"/>
    <n v="21"/>
    <n v="24"/>
    <n v="0.1515"/>
    <n v="0.25369999999999998"/>
    <x v="2"/>
  </r>
  <r>
    <n v="549"/>
    <d v="2011-01-25T00:00:00"/>
    <n v="1"/>
    <n v="0"/>
    <b v="0"/>
    <n v="2"/>
    <n v="2"/>
    <x v="13"/>
    <x v="1"/>
    <x v="1"/>
    <s v="Morning"/>
    <n v="0.69"/>
    <n v="3"/>
    <n v="6"/>
    <n v="9"/>
    <n v="0.13639999999999999"/>
    <n v="0.28360000000000002"/>
    <x v="3"/>
  </r>
  <r>
    <n v="550"/>
    <d v="2011-01-25T00:00:00"/>
    <n v="1"/>
    <n v="1"/>
    <b v="0"/>
    <n v="2"/>
    <n v="2"/>
    <x v="13"/>
    <x v="1"/>
    <x v="1"/>
    <s v="Morning"/>
    <n v="0.69"/>
    <n v="0"/>
    <n v="5"/>
    <n v="5"/>
    <n v="0.16669999999999999"/>
    <n v="0.16420000000000001"/>
    <x v="3"/>
  </r>
  <r>
    <n v="551"/>
    <d v="2011-01-25T00:00:00"/>
    <n v="1"/>
    <n v="2"/>
    <b v="0"/>
    <n v="2"/>
    <n v="1"/>
    <x v="13"/>
    <x v="1"/>
    <x v="0"/>
    <s v="Morning"/>
    <n v="0.69"/>
    <n v="0"/>
    <n v="2"/>
    <n v="2"/>
    <n v="0.1515"/>
    <n v="0.22389999999999999"/>
    <x v="3"/>
  </r>
  <r>
    <n v="552"/>
    <d v="2011-01-25T00:00:00"/>
    <n v="1"/>
    <n v="4"/>
    <b v="0"/>
    <n v="2"/>
    <n v="1"/>
    <x v="14"/>
    <x v="1"/>
    <x v="0"/>
    <s v="Morning"/>
    <n v="0.74"/>
    <n v="0"/>
    <n v="1"/>
    <n v="1"/>
    <n v="0.16669999999999999"/>
    <n v="0.1045"/>
    <x v="3"/>
  </r>
  <r>
    <n v="553"/>
    <d v="2011-01-25T00:00:00"/>
    <n v="1"/>
    <n v="5"/>
    <b v="0"/>
    <n v="2"/>
    <n v="1"/>
    <x v="14"/>
    <x v="1"/>
    <x v="0"/>
    <s v="Morning"/>
    <n v="0.74"/>
    <n v="0"/>
    <n v="9"/>
    <n v="9"/>
    <n v="0.13639999999999999"/>
    <n v="0.22389999999999999"/>
    <x v="3"/>
  </r>
  <r>
    <n v="554"/>
    <d v="2011-01-25T00:00:00"/>
    <n v="1"/>
    <n v="6"/>
    <b v="0"/>
    <n v="2"/>
    <n v="1"/>
    <x v="13"/>
    <x v="1"/>
    <x v="0"/>
    <s v="Morning"/>
    <n v="0.74"/>
    <n v="1"/>
    <n v="35"/>
    <n v="36"/>
    <n v="0.18179999999999999"/>
    <n v="0.1045"/>
    <x v="3"/>
  </r>
  <r>
    <n v="555"/>
    <d v="2011-01-25T00:00:00"/>
    <n v="1"/>
    <n v="7"/>
    <b v="0"/>
    <n v="2"/>
    <n v="1"/>
    <x v="13"/>
    <x v="1"/>
    <x v="0"/>
    <s v="Morning"/>
    <n v="0.74"/>
    <n v="5"/>
    <n v="103"/>
    <n v="108"/>
    <n v="0.1515"/>
    <n v="0.22389999999999999"/>
    <x v="3"/>
  </r>
  <r>
    <n v="556"/>
    <d v="2011-01-25T00:00:00"/>
    <n v="1"/>
    <n v="8"/>
    <b v="0"/>
    <n v="2"/>
    <n v="2"/>
    <x v="13"/>
    <x v="1"/>
    <x v="1"/>
    <s v="Morning"/>
    <n v="0.74"/>
    <n v="5"/>
    <n v="233"/>
    <n v="238"/>
    <n v="0.18179999999999999"/>
    <n v="0.1343"/>
    <x v="3"/>
  </r>
  <r>
    <n v="557"/>
    <d v="2011-01-25T00:00:00"/>
    <n v="1"/>
    <n v="9"/>
    <b v="0"/>
    <n v="2"/>
    <n v="2"/>
    <x v="2"/>
    <x v="1"/>
    <x v="1"/>
    <s v="Morning"/>
    <n v="0.64"/>
    <n v="10"/>
    <n v="134"/>
    <n v="144"/>
    <n v="0.2273"/>
    <n v="8.9599999999999999E-2"/>
    <x v="3"/>
  </r>
  <r>
    <n v="558"/>
    <d v="2011-01-25T00:00:00"/>
    <n v="1"/>
    <n v="10"/>
    <b v="0"/>
    <n v="2"/>
    <n v="2"/>
    <x v="1"/>
    <x v="1"/>
    <x v="1"/>
    <s v="Morning"/>
    <n v="0.6"/>
    <n v="6"/>
    <n v="49"/>
    <n v="55"/>
    <n v="0.2424"/>
    <n v="0.1045"/>
    <x v="3"/>
  </r>
  <r>
    <n v="559"/>
    <d v="2011-01-25T00:00:00"/>
    <n v="1"/>
    <n v="11"/>
    <b v="0"/>
    <n v="2"/>
    <n v="2"/>
    <x v="0"/>
    <x v="1"/>
    <x v="1"/>
    <s v="Morning"/>
    <n v="0.6"/>
    <n v="6"/>
    <n v="55"/>
    <n v="61"/>
    <n v="0.2424"/>
    <n v="0.1343"/>
    <x v="3"/>
  </r>
  <r>
    <n v="560"/>
    <d v="2011-01-25T00:00:00"/>
    <n v="1"/>
    <n v="12"/>
    <b v="0"/>
    <n v="2"/>
    <n v="2"/>
    <x v="12"/>
    <x v="1"/>
    <x v="1"/>
    <s v="Afternoon"/>
    <n v="0.56000000000000005"/>
    <n v="21"/>
    <n v="85"/>
    <n v="106"/>
    <n v="0.28789999999999999"/>
    <n v="8.9599999999999999E-2"/>
    <x v="3"/>
  </r>
  <r>
    <n v="561"/>
    <d v="2011-01-25T00:00:00"/>
    <n v="1"/>
    <n v="13"/>
    <b v="0"/>
    <n v="2"/>
    <n v="2"/>
    <x v="12"/>
    <x v="1"/>
    <x v="1"/>
    <s v="Afternoon"/>
    <n v="0.56000000000000005"/>
    <n v="21"/>
    <n v="72"/>
    <n v="93"/>
    <n v="0.2727"/>
    <n v="0.1343"/>
    <x v="3"/>
  </r>
  <r>
    <n v="562"/>
    <d v="2011-01-25T00:00:00"/>
    <n v="1"/>
    <n v="14"/>
    <b v="0"/>
    <n v="2"/>
    <n v="2"/>
    <x v="11"/>
    <x v="1"/>
    <x v="1"/>
    <s v="Afternoon"/>
    <n v="0.45"/>
    <n v="11"/>
    <n v="57"/>
    <n v="68"/>
    <n v="0.33329999999999999"/>
    <n v="0"/>
    <x v="3"/>
  </r>
  <r>
    <n v="563"/>
    <d v="2011-01-25T00:00:00"/>
    <n v="1"/>
    <n v="15"/>
    <b v="0"/>
    <n v="2"/>
    <n v="2"/>
    <x v="3"/>
    <x v="1"/>
    <x v="1"/>
    <s v="Afternoon"/>
    <n v="0.42"/>
    <n v="21"/>
    <n v="63"/>
    <n v="84"/>
    <n v="0.34849999999999998"/>
    <n v="0"/>
    <x v="3"/>
  </r>
  <r>
    <n v="564"/>
    <d v="2011-01-25T00:00:00"/>
    <n v="1"/>
    <n v="16"/>
    <b v="0"/>
    <n v="2"/>
    <n v="2"/>
    <x v="3"/>
    <x v="1"/>
    <x v="1"/>
    <s v="Afternoon"/>
    <n v="0.42"/>
    <n v="14"/>
    <n v="102"/>
    <n v="116"/>
    <n v="0.34849999999999998"/>
    <n v="0"/>
    <x v="3"/>
  </r>
  <r>
    <n v="565"/>
    <d v="2011-01-25T00:00:00"/>
    <n v="1"/>
    <n v="17"/>
    <b v="0"/>
    <n v="2"/>
    <n v="1"/>
    <x v="11"/>
    <x v="1"/>
    <x v="0"/>
    <s v="Evening"/>
    <n v="0.45"/>
    <n v="14"/>
    <n v="208"/>
    <n v="222"/>
    <n v="0.33329999999999999"/>
    <n v="0"/>
    <x v="3"/>
  </r>
  <r>
    <n v="566"/>
    <d v="2011-01-25T00:00:00"/>
    <n v="1"/>
    <n v="18"/>
    <b v="0"/>
    <n v="2"/>
    <n v="2"/>
    <x v="11"/>
    <x v="1"/>
    <x v="1"/>
    <s v="Evening"/>
    <n v="0.49"/>
    <n v="7"/>
    <n v="218"/>
    <n v="225"/>
    <n v="0.31819999999999998"/>
    <n v="8.9599999999999999E-2"/>
    <x v="3"/>
  </r>
  <r>
    <n v="567"/>
    <d v="2011-01-25T00:00:00"/>
    <n v="1"/>
    <n v="19"/>
    <b v="0"/>
    <n v="2"/>
    <n v="2"/>
    <x v="12"/>
    <x v="1"/>
    <x v="1"/>
    <s v="Evening"/>
    <n v="0.65"/>
    <n v="13"/>
    <n v="133"/>
    <n v="146"/>
    <n v="0.2576"/>
    <n v="0.16420000000000001"/>
    <x v="3"/>
  </r>
  <r>
    <n v="568"/>
    <d v="2011-01-25T00:00:00"/>
    <n v="1"/>
    <n v="20"/>
    <b v="0"/>
    <n v="2"/>
    <n v="1"/>
    <x v="0"/>
    <x v="1"/>
    <x v="0"/>
    <s v="Evening"/>
    <n v="0.65"/>
    <n v="16"/>
    <n v="103"/>
    <n v="119"/>
    <n v="0.2273"/>
    <n v="0.19400000000000001"/>
    <x v="3"/>
  </r>
  <r>
    <n v="569"/>
    <d v="2011-01-25T00:00:00"/>
    <n v="1"/>
    <n v="21"/>
    <b v="0"/>
    <n v="2"/>
    <n v="1"/>
    <x v="0"/>
    <x v="1"/>
    <x v="0"/>
    <s v="Night"/>
    <n v="0.65"/>
    <n v="5"/>
    <n v="40"/>
    <n v="45"/>
    <n v="0.2273"/>
    <n v="0.19400000000000001"/>
    <x v="3"/>
  </r>
  <r>
    <n v="570"/>
    <d v="2011-01-25T00:00:00"/>
    <n v="1"/>
    <n v="22"/>
    <b v="0"/>
    <n v="2"/>
    <n v="1"/>
    <x v="1"/>
    <x v="1"/>
    <x v="0"/>
    <s v="Night"/>
    <n v="0.64"/>
    <n v="4"/>
    <n v="49"/>
    <n v="53"/>
    <n v="0.2273"/>
    <n v="0.16420000000000001"/>
    <x v="3"/>
  </r>
  <r>
    <n v="571"/>
    <d v="2011-01-25T00:00:00"/>
    <n v="1"/>
    <n v="23"/>
    <b v="0"/>
    <n v="2"/>
    <n v="2"/>
    <x v="1"/>
    <x v="1"/>
    <x v="1"/>
    <s v="Night"/>
    <n v="0.64"/>
    <n v="3"/>
    <n v="37"/>
    <n v="40"/>
    <n v="0.2273"/>
    <n v="0.16420000000000001"/>
    <x v="3"/>
  </r>
  <r>
    <n v="572"/>
    <d v="2011-01-26T00:00:00"/>
    <n v="1"/>
    <n v="0"/>
    <b v="0"/>
    <n v="3"/>
    <n v="2"/>
    <x v="1"/>
    <x v="1"/>
    <x v="1"/>
    <s v="Morning"/>
    <n v="0.69"/>
    <n v="3"/>
    <n v="14"/>
    <n v="17"/>
    <n v="0.2273"/>
    <n v="0.1343"/>
    <x v="4"/>
  </r>
  <r>
    <n v="573"/>
    <d v="2011-01-26T00:00:00"/>
    <n v="1"/>
    <n v="1"/>
    <b v="0"/>
    <n v="3"/>
    <n v="2"/>
    <x v="0"/>
    <x v="1"/>
    <x v="1"/>
    <s v="Morning"/>
    <n v="0.65"/>
    <n v="0"/>
    <n v="5"/>
    <n v="5"/>
    <n v="0.2424"/>
    <n v="0.1343"/>
    <x v="4"/>
  </r>
  <r>
    <n v="574"/>
    <d v="2011-01-26T00:00:00"/>
    <n v="1"/>
    <n v="2"/>
    <b v="0"/>
    <n v="3"/>
    <n v="3"/>
    <x v="1"/>
    <x v="1"/>
    <x v="2"/>
    <s v="Morning"/>
    <n v="0.69"/>
    <n v="3"/>
    <n v="7"/>
    <n v="10"/>
    <n v="0.2273"/>
    <n v="0.19400000000000001"/>
    <x v="4"/>
  </r>
  <r>
    <n v="575"/>
    <d v="2011-01-26T00:00:00"/>
    <n v="1"/>
    <n v="5"/>
    <b v="0"/>
    <n v="3"/>
    <n v="3"/>
    <x v="2"/>
    <x v="1"/>
    <x v="2"/>
    <s v="Morning"/>
    <n v="0.86"/>
    <n v="0"/>
    <n v="1"/>
    <n v="1"/>
    <n v="0.18179999999999999"/>
    <n v="0.28360000000000002"/>
    <x v="4"/>
  </r>
  <r>
    <n v="576"/>
    <d v="2011-01-26T00:00:00"/>
    <n v="1"/>
    <n v="6"/>
    <b v="0"/>
    <n v="3"/>
    <n v="3"/>
    <x v="2"/>
    <x v="1"/>
    <x v="2"/>
    <s v="Morning"/>
    <n v="0.86"/>
    <n v="0"/>
    <n v="8"/>
    <n v="8"/>
    <n v="0.18179999999999999"/>
    <n v="0.28360000000000002"/>
    <x v="4"/>
  </r>
  <r>
    <n v="577"/>
    <d v="2011-01-26T00:00:00"/>
    <n v="1"/>
    <n v="7"/>
    <b v="0"/>
    <n v="3"/>
    <n v="3"/>
    <x v="1"/>
    <x v="1"/>
    <x v="2"/>
    <s v="Morning"/>
    <n v="0.87"/>
    <n v="1"/>
    <n v="29"/>
    <n v="30"/>
    <n v="0.21210000000000001"/>
    <n v="0.29849999999999999"/>
    <x v="4"/>
  </r>
  <r>
    <n v="578"/>
    <d v="2011-01-26T00:00:00"/>
    <n v="1"/>
    <n v="8"/>
    <b v="0"/>
    <n v="3"/>
    <n v="3"/>
    <x v="1"/>
    <x v="1"/>
    <x v="2"/>
    <s v="Morning"/>
    <n v="0.87"/>
    <n v="3"/>
    <n v="69"/>
    <n v="72"/>
    <n v="0.21210000000000001"/>
    <n v="0.29849999999999999"/>
    <x v="4"/>
  </r>
  <r>
    <n v="579"/>
    <d v="2011-01-26T00:00:00"/>
    <n v="1"/>
    <n v="9"/>
    <b v="0"/>
    <n v="3"/>
    <n v="3"/>
    <x v="1"/>
    <x v="1"/>
    <x v="2"/>
    <s v="Morning"/>
    <n v="0.87"/>
    <n v="3"/>
    <n v="55"/>
    <n v="58"/>
    <n v="0.21210000000000001"/>
    <n v="0.29849999999999999"/>
    <x v="4"/>
  </r>
  <r>
    <n v="580"/>
    <d v="2011-01-26T00:00:00"/>
    <n v="1"/>
    <n v="10"/>
    <b v="0"/>
    <n v="3"/>
    <n v="3"/>
    <x v="1"/>
    <x v="1"/>
    <x v="2"/>
    <s v="Morning"/>
    <n v="0.93"/>
    <n v="2"/>
    <n v="26"/>
    <n v="28"/>
    <n v="0.21210000000000001"/>
    <n v="0.28360000000000002"/>
    <x v="4"/>
  </r>
  <r>
    <n v="581"/>
    <d v="2011-01-26T00:00:00"/>
    <n v="1"/>
    <n v="11"/>
    <b v="0"/>
    <n v="3"/>
    <n v="3"/>
    <x v="1"/>
    <x v="1"/>
    <x v="2"/>
    <s v="Morning"/>
    <n v="0.93"/>
    <n v="6"/>
    <n v="35"/>
    <n v="41"/>
    <n v="0.19700000000000001"/>
    <n v="0.32840000000000003"/>
    <x v="4"/>
  </r>
  <r>
    <n v="582"/>
    <d v="2011-01-26T00:00:00"/>
    <n v="1"/>
    <n v="12"/>
    <b v="0"/>
    <n v="3"/>
    <n v="3"/>
    <x v="1"/>
    <x v="1"/>
    <x v="2"/>
    <s v="Afternoon"/>
    <n v="0.93"/>
    <n v="7"/>
    <n v="41"/>
    <n v="48"/>
    <n v="0.19700000000000001"/>
    <n v="0.32840000000000003"/>
    <x v="4"/>
  </r>
  <r>
    <n v="583"/>
    <d v="2011-01-26T00:00:00"/>
    <n v="1"/>
    <n v="13"/>
    <b v="0"/>
    <n v="3"/>
    <n v="3"/>
    <x v="1"/>
    <x v="1"/>
    <x v="2"/>
    <s v="Afternoon"/>
    <n v="0.93"/>
    <n v="4"/>
    <n v="43"/>
    <n v="47"/>
    <n v="0.19700000000000001"/>
    <n v="0.32840000000000003"/>
    <x v="4"/>
  </r>
  <r>
    <n v="584"/>
    <d v="2011-01-26T00:00:00"/>
    <n v="1"/>
    <n v="14"/>
    <b v="0"/>
    <n v="3"/>
    <n v="3"/>
    <x v="1"/>
    <x v="1"/>
    <x v="2"/>
    <s v="Afternoon"/>
    <n v="0.93"/>
    <n v="0"/>
    <n v="36"/>
    <n v="36"/>
    <n v="0.19700000000000001"/>
    <n v="0.35820000000000002"/>
    <x v="4"/>
  </r>
  <r>
    <n v="585"/>
    <d v="2011-01-26T00:00:00"/>
    <n v="1"/>
    <n v="15"/>
    <b v="0"/>
    <n v="3"/>
    <n v="3"/>
    <x v="1"/>
    <x v="1"/>
    <x v="2"/>
    <s v="Afternoon"/>
    <n v="0.93"/>
    <n v="1"/>
    <n v="42"/>
    <n v="43"/>
    <n v="0.18179999999999999"/>
    <n v="0.4627"/>
    <x v="4"/>
  </r>
  <r>
    <n v="586"/>
    <d v="2011-01-26T00:00:00"/>
    <n v="1"/>
    <n v="16"/>
    <b v="0"/>
    <n v="3"/>
    <n v="4"/>
    <x v="1"/>
    <x v="1"/>
    <x v="3"/>
    <s v="Afternoon"/>
    <n v="0.93"/>
    <n v="1"/>
    <n v="35"/>
    <n v="36"/>
    <n v="0.19700000000000001"/>
    <n v="0.32840000000000003"/>
    <x v="4"/>
  </r>
  <r>
    <n v="587"/>
    <d v="2011-01-26T00:00:00"/>
    <n v="1"/>
    <n v="17"/>
    <b v="0"/>
    <n v="3"/>
    <n v="3"/>
    <x v="2"/>
    <x v="1"/>
    <x v="2"/>
    <s v="Evening"/>
    <n v="0.93"/>
    <n v="0"/>
    <n v="26"/>
    <n v="26"/>
    <n v="0.18179999999999999"/>
    <n v="0.35820000000000002"/>
    <x v="4"/>
  </r>
  <r>
    <n v="588"/>
    <d v="2011-01-27T00:00:00"/>
    <n v="1"/>
    <n v="16"/>
    <b v="0"/>
    <n v="4"/>
    <n v="1"/>
    <x v="1"/>
    <x v="1"/>
    <x v="0"/>
    <s v="Afternoon"/>
    <n v="0.55000000000000004"/>
    <n v="1"/>
    <n v="23"/>
    <n v="24"/>
    <n v="0.2273"/>
    <n v="0.19400000000000001"/>
    <x v="5"/>
  </r>
  <r>
    <n v="589"/>
    <d v="2011-01-27T00:00:00"/>
    <n v="1"/>
    <n v="17"/>
    <b v="0"/>
    <n v="4"/>
    <n v="1"/>
    <x v="1"/>
    <x v="1"/>
    <x v="0"/>
    <s v="Evening"/>
    <n v="0.55000000000000004"/>
    <n v="2"/>
    <n v="82"/>
    <n v="84"/>
    <n v="0.2424"/>
    <n v="0.1045"/>
    <x v="5"/>
  </r>
  <r>
    <n v="590"/>
    <d v="2011-01-27T00:00:00"/>
    <n v="1"/>
    <n v="18"/>
    <b v="0"/>
    <n v="4"/>
    <n v="1"/>
    <x v="2"/>
    <x v="1"/>
    <x v="0"/>
    <s v="Evening"/>
    <n v="0.69"/>
    <n v="3"/>
    <n v="101"/>
    <n v="104"/>
    <n v="0.2273"/>
    <n v="8.9599999999999999E-2"/>
    <x v="5"/>
  </r>
  <r>
    <n v="591"/>
    <d v="2011-01-27T00:00:00"/>
    <n v="1"/>
    <n v="19"/>
    <b v="0"/>
    <n v="4"/>
    <n v="1"/>
    <x v="2"/>
    <x v="1"/>
    <x v="0"/>
    <s v="Evening"/>
    <n v="0.69"/>
    <n v="3"/>
    <n v="76"/>
    <n v="79"/>
    <n v="0.2273"/>
    <n v="8.9599999999999999E-2"/>
    <x v="5"/>
  </r>
  <r>
    <n v="592"/>
    <d v="2011-01-27T00:00:00"/>
    <n v="1"/>
    <n v="20"/>
    <b v="0"/>
    <n v="4"/>
    <n v="1"/>
    <x v="15"/>
    <x v="1"/>
    <x v="0"/>
    <s v="Evening"/>
    <n v="0.74"/>
    <n v="4"/>
    <n v="55"/>
    <n v="59"/>
    <n v="0.21210000000000001"/>
    <n v="8.9599999999999999E-2"/>
    <x v="5"/>
  </r>
  <r>
    <n v="593"/>
    <d v="2011-01-27T00:00:00"/>
    <n v="1"/>
    <n v="21"/>
    <b v="0"/>
    <n v="4"/>
    <n v="1"/>
    <x v="15"/>
    <x v="1"/>
    <x v="0"/>
    <s v="Night"/>
    <n v="0.74"/>
    <n v="2"/>
    <n v="36"/>
    <n v="38"/>
    <n v="0.21210000000000001"/>
    <n v="8.9599999999999999E-2"/>
    <x v="5"/>
  </r>
  <r>
    <n v="594"/>
    <d v="2011-01-27T00:00:00"/>
    <n v="1"/>
    <n v="22"/>
    <b v="0"/>
    <n v="4"/>
    <n v="1"/>
    <x v="15"/>
    <x v="1"/>
    <x v="0"/>
    <s v="Night"/>
    <n v="0.74"/>
    <n v="0"/>
    <n v="27"/>
    <n v="27"/>
    <n v="0.21210000000000001"/>
    <n v="8.9599999999999999E-2"/>
    <x v="5"/>
  </r>
  <r>
    <n v="595"/>
    <d v="2011-01-27T00:00:00"/>
    <n v="1"/>
    <n v="23"/>
    <b v="0"/>
    <n v="4"/>
    <n v="1"/>
    <x v="15"/>
    <x v="1"/>
    <x v="0"/>
    <s v="Night"/>
    <n v="0.8"/>
    <n v="0"/>
    <n v="16"/>
    <n v="16"/>
    <n v="0.19700000000000001"/>
    <n v="0.16420000000000001"/>
    <x v="5"/>
  </r>
  <r>
    <n v="596"/>
    <d v="2011-01-28T00:00:00"/>
    <n v="1"/>
    <n v="0"/>
    <b v="0"/>
    <n v="5"/>
    <n v="2"/>
    <x v="2"/>
    <x v="1"/>
    <x v="1"/>
    <s v="Morning"/>
    <n v="0.75"/>
    <n v="0"/>
    <n v="9"/>
    <n v="9"/>
    <n v="0.21210000000000001"/>
    <n v="0.1343"/>
    <x v="6"/>
  </r>
  <r>
    <n v="597"/>
    <d v="2011-01-28T00:00:00"/>
    <n v="1"/>
    <n v="1"/>
    <b v="0"/>
    <n v="5"/>
    <n v="2"/>
    <x v="2"/>
    <x v="1"/>
    <x v="1"/>
    <s v="Morning"/>
    <n v="0.75"/>
    <n v="1"/>
    <n v="2"/>
    <n v="3"/>
    <n v="0.21210000000000001"/>
    <n v="0.1343"/>
    <x v="6"/>
  </r>
  <r>
    <n v="598"/>
    <d v="2011-01-28T00:00:00"/>
    <n v="1"/>
    <n v="2"/>
    <b v="0"/>
    <n v="5"/>
    <n v="2"/>
    <x v="2"/>
    <x v="1"/>
    <x v="1"/>
    <s v="Morning"/>
    <n v="0.75"/>
    <n v="0"/>
    <n v="2"/>
    <n v="2"/>
    <n v="0.21210000000000001"/>
    <n v="0.16420000000000001"/>
    <x v="6"/>
  </r>
  <r>
    <n v="599"/>
    <d v="2011-01-28T00:00:00"/>
    <n v="1"/>
    <n v="3"/>
    <b v="0"/>
    <n v="5"/>
    <n v="2"/>
    <x v="2"/>
    <x v="1"/>
    <x v="1"/>
    <s v="Morning"/>
    <n v="0.75"/>
    <n v="1"/>
    <n v="0"/>
    <n v="1"/>
    <n v="0.2273"/>
    <n v="0.1045"/>
    <x v="6"/>
  </r>
  <r>
    <n v="600"/>
    <d v="2011-01-28T00:00:00"/>
    <n v="1"/>
    <n v="5"/>
    <b v="0"/>
    <n v="5"/>
    <n v="2"/>
    <x v="15"/>
    <x v="1"/>
    <x v="1"/>
    <s v="Morning"/>
    <n v="0.8"/>
    <n v="0"/>
    <n v="4"/>
    <n v="4"/>
    <n v="0.21210000000000001"/>
    <n v="0.1045"/>
    <x v="6"/>
  </r>
  <r>
    <n v="601"/>
    <d v="2011-01-28T00:00:00"/>
    <n v="1"/>
    <n v="6"/>
    <b v="0"/>
    <n v="5"/>
    <n v="2"/>
    <x v="15"/>
    <x v="1"/>
    <x v="1"/>
    <s v="Morning"/>
    <n v="0.8"/>
    <n v="0"/>
    <n v="16"/>
    <n v="16"/>
    <n v="0.19700000000000001"/>
    <n v="0.1343"/>
    <x v="6"/>
  </r>
  <r>
    <n v="602"/>
    <d v="2011-01-28T00:00:00"/>
    <n v="1"/>
    <n v="7"/>
    <b v="0"/>
    <n v="5"/>
    <n v="2"/>
    <x v="13"/>
    <x v="1"/>
    <x v="1"/>
    <s v="Morning"/>
    <n v="0.86"/>
    <n v="2"/>
    <n v="58"/>
    <n v="60"/>
    <n v="0.19700000000000001"/>
    <n v="8.9599999999999999E-2"/>
    <x v="6"/>
  </r>
  <r>
    <n v="603"/>
    <d v="2011-01-28T00:00:00"/>
    <n v="1"/>
    <n v="8"/>
    <b v="0"/>
    <n v="5"/>
    <n v="2"/>
    <x v="13"/>
    <x v="1"/>
    <x v="1"/>
    <s v="Morning"/>
    <n v="0.86"/>
    <n v="2"/>
    <n v="155"/>
    <n v="157"/>
    <n v="0.19700000000000001"/>
    <n v="8.9599999999999999E-2"/>
    <x v="6"/>
  </r>
  <r>
    <n v="604"/>
    <d v="2011-01-28T00:00:00"/>
    <n v="1"/>
    <n v="9"/>
    <b v="0"/>
    <n v="5"/>
    <n v="3"/>
    <x v="15"/>
    <x v="1"/>
    <x v="2"/>
    <s v="Morning"/>
    <n v="0.86"/>
    <n v="6"/>
    <n v="95"/>
    <n v="101"/>
    <n v="0.21210000000000001"/>
    <n v="8.9599999999999999E-2"/>
    <x v="6"/>
  </r>
  <r>
    <n v="605"/>
    <d v="2011-01-28T00:00:00"/>
    <n v="1"/>
    <n v="10"/>
    <b v="0"/>
    <n v="5"/>
    <n v="3"/>
    <x v="15"/>
    <x v="1"/>
    <x v="2"/>
    <s v="Morning"/>
    <n v="0.86"/>
    <n v="0"/>
    <n v="49"/>
    <n v="49"/>
    <n v="0.21210000000000001"/>
    <n v="0.1045"/>
    <x v="6"/>
  </r>
  <r>
    <n v="606"/>
    <d v="2011-01-28T00:00:00"/>
    <n v="1"/>
    <n v="11"/>
    <b v="0"/>
    <n v="5"/>
    <n v="3"/>
    <x v="15"/>
    <x v="1"/>
    <x v="2"/>
    <s v="Morning"/>
    <n v="0.93"/>
    <n v="0"/>
    <n v="30"/>
    <n v="30"/>
    <n v="0.21210000000000001"/>
    <n v="0.1045"/>
    <x v="6"/>
  </r>
  <r>
    <n v="607"/>
    <d v="2011-01-28T00:00:00"/>
    <n v="1"/>
    <n v="12"/>
    <b v="0"/>
    <n v="5"/>
    <n v="3"/>
    <x v="15"/>
    <x v="1"/>
    <x v="2"/>
    <s v="Afternoon"/>
    <n v="0.93"/>
    <n v="1"/>
    <n v="28"/>
    <n v="29"/>
    <n v="0.21210000000000001"/>
    <n v="0.1045"/>
    <x v="6"/>
  </r>
  <r>
    <n v="608"/>
    <d v="2011-01-28T00:00:00"/>
    <n v="1"/>
    <n v="13"/>
    <b v="0"/>
    <n v="5"/>
    <n v="3"/>
    <x v="15"/>
    <x v="1"/>
    <x v="2"/>
    <s v="Afternoon"/>
    <n v="0.93"/>
    <n v="0"/>
    <n v="31"/>
    <n v="31"/>
    <n v="0.21210000000000001"/>
    <n v="0.1045"/>
    <x v="6"/>
  </r>
  <r>
    <n v="609"/>
    <d v="2011-01-28T00:00:00"/>
    <n v="1"/>
    <n v="14"/>
    <b v="0"/>
    <n v="5"/>
    <n v="3"/>
    <x v="1"/>
    <x v="1"/>
    <x v="2"/>
    <s v="Afternoon"/>
    <n v="0.8"/>
    <n v="2"/>
    <n v="36"/>
    <n v="38"/>
    <n v="0.2727"/>
    <n v="0"/>
    <x v="6"/>
  </r>
  <r>
    <n v="610"/>
    <d v="2011-01-28T00:00:00"/>
    <n v="1"/>
    <n v="15"/>
    <b v="0"/>
    <n v="5"/>
    <n v="2"/>
    <x v="2"/>
    <x v="1"/>
    <x v="1"/>
    <s v="Afternoon"/>
    <n v="0.86"/>
    <n v="1"/>
    <n v="40"/>
    <n v="41"/>
    <n v="0.2576"/>
    <n v="0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3A6EFD-257C-4906-AD79-7C02BD44B1F5}" name="PivotTable4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6" firstHeaderRow="1" firstDataRow="1" firstDataCol="1"/>
  <pivotFields count="18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rental user" fld="1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5D39D5-63C3-41BA-AE95-AF7E6FE5E751}" name="PivotTable2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9" firstHeaderRow="1" firstDataRow="1" firstDataCol="1"/>
  <pivotFields count="18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8">
        <item x="2"/>
        <item x="3"/>
        <item x="4"/>
        <item x="5"/>
        <item x="6"/>
        <item x="0"/>
        <item n="Friday" x="1"/>
        <item t="default"/>
      </items>
    </pivotField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 rental user" fld="1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34FBD8-5DA6-4512-AF2E-68C9A0F47242}" name="PivotTable3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6" firstHeaderRow="1" firstDataRow="1" firstDataCol="1"/>
  <pivotFields count="18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rental user" fld="14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BDE1CE-1A4D-4F49-A584-35CB36629F27}" name="PivotTable5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25" firstHeaderRow="1" firstDataRow="1" firstDataCol="1"/>
  <pivotFields count="18"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24">
        <item x="22"/>
        <item x="21"/>
        <item x="20"/>
        <item x="19"/>
        <item x="18"/>
        <item x="16"/>
        <item x="14"/>
        <item x="13"/>
        <item x="15"/>
        <item x="2"/>
        <item x="1"/>
        <item x="0"/>
        <item x="12"/>
        <item x="17"/>
        <item x="11"/>
        <item x="3"/>
        <item x="10"/>
        <item x="5"/>
        <item x="4"/>
        <item x="9"/>
        <item x="6"/>
        <item x="8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7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Sum of Total rental user" fld="14" baseField="0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80ED40E4-D76C-4CC8-ACAE-1EC7542AFF65}" autoFormatId="16" applyNumberFormats="0" applyBorderFormats="0" applyFontFormats="0" applyPatternFormats="0" applyAlignmentFormats="0" applyWidthHeightFormats="0">
  <queryTableRefresh nextId="22" unboundColumnsRight="3">
    <queryTableFields count="18">
      <queryTableField id="1" name="instant" tableColumnId="1"/>
      <queryTableField id="2" name="dteday" tableColumnId="2"/>
      <queryTableField id="3" name="season" tableColumnId="3"/>
      <queryTableField id="4" name="hr" tableColumnId="4"/>
      <queryTableField id="5" name="holiday" tableColumnId="5"/>
      <queryTableField id="6" name="weekday" tableColumnId="6"/>
      <queryTableField id="7" name="weathersit" tableColumnId="7"/>
      <queryTableField id="8" name="temp" tableColumnId="8"/>
      <queryTableField id="9" name="daytype" tableColumnId="9"/>
      <queryTableField id="10" name="weather_type" tableColumnId="10"/>
      <queryTableField id="11" name="Time_period" tableColumnId="11"/>
      <queryTableField id="13" name="hum" tableColumnId="13"/>
      <queryTableField id="15" name="casual" tableColumnId="15"/>
      <queryTableField id="16" name="registered" tableColumnId="16"/>
      <queryTableField id="17" name="cnt" tableColumnId="17"/>
      <queryTableField id="19" dataBound="0" tableColumnId="12"/>
      <queryTableField id="20" dataBound="0" tableColumnId="14"/>
      <queryTableField id="21" dataBound="0" tableColumnId="19"/>
    </queryTableFields>
    <queryTableDeletedFields count="3">
      <deletedField name="atemp"/>
      <deletedField name="windspeed"/>
      <deletedField name="Demandlevel"/>
    </queryTableDeleted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B1C431-9707-4324-9207-5EB837F48D3B}" name="Table1" displayName="Table1" ref="A1:K611" totalsRowShown="0" headerRowDxfId="26" dataDxfId="25">
  <autoFilter ref="A1:K611" xr:uid="{0FB1C431-9707-4324-9207-5EB837F48D3B}"/>
  <tableColumns count="11">
    <tableColumn id="1" xr3:uid="{F5AF4E6A-23F0-472B-A82B-25D023992F53}" name="instant" dataDxfId="24"/>
    <tableColumn id="2" xr3:uid="{ABB7D5E9-7E3D-4FF6-8497-7F1EEC14E86C}" name="dteday" dataDxfId="23"/>
    <tableColumn id="3" xr3:uid="{5970B991-6C3E-4892-A763-2FBC61E09E3E}" name="season" dataDxfId="22"/>
    <tableColumn id="6" xr3:uid="{4EF3787F-9440-41C8-B6F1-5A28E49F87C2}" name="hr" dataDxfId="21"/>
    <tableColumn id="7" xr3:uid="{B8A7B307-41FD-41CB-A893-958DF2BF6888}" name="holiday" dataDxfId="20"/>
    <tableColumn id="8" xr3:uid="{F1EE9C7A-EF18-4CDD-BF01-FF0D060102EE}" name="weekday" dataDxfId="19"/>
    <tableColumn id="9" xr3:uid="{A977114B-1B17-4F7C-9D97-5264345A7EC2}" name="weathersit" dataDxfId="18"/>
    <tableColumn id="10" xr3:uid="{CE32614B-C428-46FC-B6BF-B443D851D529}" name="temp" dataDxfId="17"/>
    <tableColumn id="4" xr3:uid="{438468EB-1EE9-4D06-9461-B1462368BC98}" name="daytype" dataDxfId="16">
      <calculatedColumnFormula>IF(Table1[[#This Row],[weekday]]&gt;=6,"weekend","weekday")</calculatedColumnFormula>
    </tableColumn>
    <tableColumn id="5" xr3:uid="{2E149127-CC57-42FD-B9B4-34774359A018}" name="weather_type" dataDxfId="15">
      <calculatedColumnFormula>IF(Table1[[#This Row],[weathersit]]=1,"clear sky",IF(Table1[[#This Row],[weathersit]]=2,"Little cloudy",IF(Table1[[#This Row],[weathersit]]=3,"Little Rain",IF(Table1[[#This Row],[weathersit]]=4,"Heavy Rainfoll"," "))))</calculatedColumnFormula>
    </tableColumn>
    <tableColumn id="11" xr3:uid="{79012C54-F410-4814-8A48-0D267FA33EDB}" name="Time_period" dataDxfId="14">
      <calculatedColumnFormula>IF(Table1[[#This Row],[hr]]&lt;12,"Morning",IF(Table1[[#This Row],[hr]]&lt;17,"Afternoon",IF(Table1[[#This Row],[hr]]&lt;21,"Evening","Night")))</calculatedColumnFormula>
    </tableColumn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C2EEDD-CDD3-455D-B715-C1E8728330EA}" name="Table13" displayName="Table13" ref="A1:H611" totalsRowShown="0" headerRowDxfId="13" dataDxfId="12">
  <autoFilter ref="A1:H611" xr:uid="{17C2EEDD-CDD3-455D-B715-C1E8728330EA}"/>
  <tableColumns count="8">
    <tableColumn id="1" xr3:uid="{8907C9D7-9FD1-46DD-9867-644262D1DCD7}" name="instant" dataDxfId="11"/>
    <tableColumn id="2" xr3:uid="{B3CBBD61-56CD-4A8F-BF31-4CEDCC6761FF}" name="atemp" dataDxfId="10"/>
    <tableColumn id="3" xr3:uid="{4C191354-D860-4560-BBEB-74F45DBE5359}" name="hum" dataDxfId="9"/>
    <tableColumn id="4" xr3:uid="{B30EF626-CF81-42C3-94A2-090D318C7225}" name="windspeed" dataDxfId="8"/>
    <tableColumn id="5" xr3:uid="{FE80D442-DA5B-4F17-8CA2-C91D4B9D70C6}" name="casual" dataDxfId="7"/>
    <tableColumn id="6" xr3:uid="{0A5D18FC-FE1F-4411-AD50-29D7D1078EC2}" name="registered" dataDxfId="6"/>
    <tableColumn id="7" xr3:uid="{AD41513C-FD53-4100-8833-2B72633B81F3}" name="cnt" dataDxfId="5"/>
    <tableColumn id="8" xr3:uid="{BB3A7849-20D2-4332-B9F5-BED8C006599C}" name="Demandlevel" dataDxfId="4">
      <calculatedColumnFormula>IF(Table13[[#This Row],[cnt]]&gt;100,"High","Low")</calculatedColumnFormula>
    </tableColumn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7A28A91-D1F1-45BF-ADBC-728DDE8A99C7}" name="Merge1" displayName="Merge1" ref="A1:R611" tableType="queryTable" totalsRowShown="0">
  <autoFilter ref="A1:R611" xr:uid="{E7A28A91-D1F1-45BF-ADBC-728DDE8A99C7}"/>
  <tableColumns count="18">
    <tableColumn id="1" xr3:uid="{7283CFEC-CD01-4BB9-94FF-44FB44ED33F3}" uniqueName="1" name="instant" queryTableFieldId="1"/>
    <tableColumn id="2" xr3:uid="{1EAF706E-7F34-4C9F-A427-CE96A9EFF6F2}" uniqueName="2" name="dteday" queryTableFieldId="2" dataDxfId="33"/>
    <tableColumn id="3" xr3:uid="{6C99AFF0-94A9-40EA-9471-493E401D12FB}" uniqueName="3" name="season" queryTableFieldId="3"/>
    <tableColumn id="4" xr3:uid="{D78FB1D1-E7F6-432B-A14E-BB283E7EEB44}" uniqueName="4" name="hr" queryTableFieldId="4"/>
    <tableColumn id="5" xr3:uid="{79B40048-9710-49A7-8030-4E0FC3386DE5}" uniqueName="5" name="holiday" queryTableFieldId="5"/>
    <tableColumn id="6" xr3:uid="{8F36762C-0F1D-4694-9DF8-2FD191F1D719}" uniqueName="6" name="weekday" queryTableFieldId="6"/>
    <tableColumn id="7" xr3:uid="{D6B81380-38C7-4871-A106-2A5AD611408D}" uniqueName="7" name="weathersit" queryTableFieldId="7"/>
    <tableColumn id="8" xr3:uid="{F12A5231-E034-4732-A1FF-3FDA4EF60F38}" uniqueName="8" name="temp" queryTableFieldId="8"/>
    <tableColumn id="9" xr3:uid="{EA193355-3B8A-4FA7-9F82-D2CDE322BECD}" uniqueName="9" name="daytype" queryTableFieldId="9" dataDxfId="32"/>
    <tableColumn id="10" xr3:uid="{600510EA-5856-4A8B-8DBF-7A988D0C1ADC}" uniqueName="10" name="weather_type" queryTableFieldId="10" dataDxfId="31"/>
    <tableColumn id="11" xr3:uid="{C0D2E991-F254-4FD5-9D96-F0EC16166FB7}" uniqueName="11" name="Time_period" queryTableFieldId="11" dataDxfId="30"/>
    <tableColumn id="13" xr3:uid="{E60070EB-43A4-4A13-97F7-1A94B8CE2DCA}" uniqueName="13" name="hum" queryTableFieldId="13"/>
    <tableColumn id="15" xr3:uid="{83D137DA-71CD-4BBD-BF1E-80A47F9EB9F1}" uniqueName="15" name="casual user" queryTableFieldId="15"/>
    <tableColumn id="16" xr3:uid="{58B1C405-3DBD-40AB-8BE9-A2417FB019F6}" uniqueName="16" name="registered user" queryTableFieldId="16"/>
    <tableColumn id="17" xr3:uid="{8427CCB7-080B-476C-9135-F8BBBAF298A0}" uniqueName="17" name="Total rental user" queryTableFieldId="17"/>
    <tableColumn id="12" xr3:uid="{5BBEDC90-8F24-4F1A-A5AA-12A815420ADC}" uniqueName="12" name="atemp" queryTableFieldId="19" dataDxfId="29"/>
    <tableColumn id="14" xr3:uid="{8F557E86-3E37-4498-85BD-4BA092CD58C0}" uniqueName="14" name="windspeed" queryTableFieldId="20" dataDxfId="28"/>
    <tableColumn id="19" xr3:uid="{84774EC4-5C9E-41A6-A2EF-87757F016E02}" uniqueName="19" name="weekday2" queryTableFieldId="21" dataDxfId="27">
      <calculatedColumnFormula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611"/>
  <sheetViews>
    <sheetView zoomScale="82" workbookViewId="0">
      <selection activeCell="L14" sqref="L14"/>
    </sheetView>
  </sheetViews>
  <sheetFormatPr defaultColWidth="12.5703125" defaultRowHeight="15.75" customHeight="1" x14ac:dyDescent="0.2"/>
  <cols>
    <col min="2" max="2" width="14.140625" customWidth="1"/>
    <col min="7" max="7" width="13.85546875" customWidth="1"/>
    <col min="8" max="8" width="17" customWidth="1"/>
    <col min="10" max="10" width="15.5703125" customWidth="1"/>
    <col min="11" max="11" width="13" customWidth="1"/>
  </cols>
  <sheetData>
    <row r="1" spans="1:11" x14ac:dyDescent="0.2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14</v>
      </c>
      <c r="J1" s="1" t="s">
        <v>16</v>
      </c>
      <c r="K1" s="1" t="s">
        <v>17</v>
      </c>
    </row>
    <row r="2" spans="1:11" x14ac:dyDescent="0.2">
      <c r="A2" s="1">
        <v>1</v>
      </c>
      <c r="B2" s="3">
        <v>40544</v>
      </c>
      <c r="C2" s="1">
        <v>1</v>
      </c>
      <c r="D2" s="1">
        <v>0</v>
      </c>
      <c r="E2" s="1" t="b">
        <v>0</v>
      </c>
      <c r="F2" s="1">
        <v>6</v>
      </c>
      <c r="G2" s="1">
        <v>1</v>
      </c>
      <c r="H2" s="1">
        <v>0.24</v>
      </c>
      <c r="I2" s="1" t="str">
        <f>IF(Table1[[#This Row],[weekday]]&gt;=6,"weekend","weekday")</f>
        <v>weekend</v>
      </c>
      <c r="J2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2" s="1" t="str">
        <f>IF(Table1[[#This Row],[hr]]&lt;12,"Morning",IF(Table1[[#This Row],[hr]]&lt;17,"Afternoon",IF(Table1[[#This Row],[hr]]&lt;21,"Evening","Night")))</f>
        <v>Morning</v>
      </c>
    </row>
    <row r="3" spans="1:11" x14ac:dyDescent="0.2">
      <c r="A3" s="1">
        <v>2</v>
      </c>
      <c r="B3" s="3">
        <v>40544</v>
      </c>
      <c r="C3" s="1">
        <v>1</v>
      </c>
      <c r="D3" s="1">
        <v>1</v>
      </c>
      <c r="E3" s="1" t="b">
        <v>0</v>
      </c>
      <c r="F3" s="1">
        <v>6</v>
      </c>
      <c r="G3" s="1">
        <v>1</v>
      </c>
      <c r="H3" s="1">
        <v>0.22</v>
      </c>
      <c r="I3" s="1" t="str">
        <f>IF(Table1[[#This Row],[weekday]]&gt;=6,"weekend","weekday")</f>
        <v>weekend</v>
      </c>
      <c r="J3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3" s="1" t="str">
        <f>IF(Table1[[#This Row],[hr]]&lt;12,"Morning",IF(Table1[[#This Row],[hr]]&lt;17,"Afternoon",IF(Table1[[#This Row],[hr]]&lt;21,"Evening","Night")))</f>
        <v>Morning</v>
      </c>
    </row>
    <row r="4" spans="1:11" x14ac:dyDescent="0.2">
      <c r="A4" s="1">
        <v>3</v>
      </c>
      <c r="B4" s="3">
        <v>40544</v>
      </c>
      <c r="C4" s="1">
        <v>1</v>
      </c>
      <c r="D4" s="1">
        <v>2</v>
      </c>
      <c r="E4" s="1" t="b">
        <v>0</v>
      </c>
      <c r="F4" s="1">
        <v>6</v>
      </c>
      <c r="G4" s="1">
        <v>1</v>
      </c>
      <c r="H4" s="1">
        <v>0.22</v>
      </c>
      <c r="I4" s="1" t="str">
        <f>IF(Table1[[#This Row],[weekday]]&gt;=6,"weekend","weekday")</f>
        <v>weekend</v>
      </c>
      <c r="J4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4" s="1" t="str">
        <f>IF(Table1[[#This Row],[hr]]&lt;12,"Morning",IF(Table1[[#This Row],[hr]]&lt;17,"Afternoon",IF(Table1[[#This Row],[hr]]&lt;21,"Evening","Night")))</f>
        <v>Morning</v>
      </c>
    </row>
    <row r="5" spans="1:11" x14ac:dyDescent="0.2">
      <c r="A5" s="1">
        <v>4</v>
      </c>
      <c r="B5" s="3">
        <v>40544</v>
      </c>
      <c r="C5" s="1">
        <v>1</v>
      </c>
      <c r="D5" s="1">
        <v>3</v>
      </c>
      <c r="E5" s="1" t="b">
        <v>0</v>
      </c>
      <c r="F5" s="1">
        <v>6</v>
      </c>
      <c r="G5" s="1">
        <v>1</v>
      </c>
      <c r="H5" s="1">
        <v>0.24</v>
      </c>
      <c r="I5" s="1" t="str">
        <f>IF(Table1[[#This Row],[weekday]]&gt;=6,"weekend","weekday")</f>
        <v>weekend</v>
      </c>
      <c r="J5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5" s="1" t="str">
        <f>IF(Table1[[#This Row],[hr]]&lt;12,"Morning",IF(Table1[[#This Row],[hr]]&lt;17,"Afternoon",IF(Table1[[#This Row],[hr]]&lt;21,"Evening","Night")))</f>
        <v>Morning</v>
      </c>
    </row>
    <row r="6" spans="1:11" x14ac:dyDescent="0.2">
      <c r="A6" s="1">
        <v>5</v>
      </c>
      <c r="B6" s="3">
        <v>40544</v>
      </c>
      <c r="C6" s="1">
        <v>1</v>
      </c>
      <c r="D6" s="1">
        <v>4</v>
      </c>
      <c r="E6" s="1" t="b">
        <v>0</v>
      </c>
      <c r="F6" s="1">
        <v>6</v>
      </c>
      <c r="G6" s="1">
        <v>1</v>
      </c>
      <c r="H6" s="1">
        <v>0.24</v>
      </c>
      <c r="I6" s="1" t="str">
        <f>IF(Table1[[#This Row],[weekday]]&gt;=6,"weekend","weekday")</f>
        <v>weekend</v>
      </c>
      <c r="J6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6" s="1" t="str">
        <f>IF(Table1[[#This Row],[hr]]&lt;12,"Morning",IF(Table1[[#This Row],[hr]]&lt;17,"Afternoon",IF(Table1[[#This Row],[hr]]&lt;21,"Evening","Night")))</f>
        <v>Morning</v>
      </c>
    </row>
    <row r="7" spans="1:11" x14ac:dyDescent="0.2">
      <c r="A7" s="1">
        <v>6</v>
      </c>
      <c r="B7" s="3">
        <v>40544</v>
      </c>
      <c r="C7" s="1">
        <v>1</v>
      </c>
      <c r="D7" s="1">
        <v>5</v>
      </c>
      <c r="E7" s="1" t="b">
        <v>0</v>
      </c>
      <c r="F7" s="1">
        <v>6</v>
      </c>
      <c r="G7" s="1">
        <v>2</v>
      </c>
      <c r="H7" s="1">
        <v>0.24</v>
      </c>
      <c r="I7" s="1" t="str">
        <f>IF(Table1[[#This Row],[weekday]]&gt;=6,"weekend","weekday")</f>
        <v>weekend</v>
      </c>
      <c r="J7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7" s="1" t="str">
        <f>IF(Table1[[#This Row],[hr]]&lt;12,"Morning",IF(Table1[[#This Row],[hr]]&lt;17,"Afternoon",IF(Table1[[#This Row],[hr]]&lt;21,"Evening","Night")))</f>
        <v>Morning</v>
      </c>
    </row>
    <row r="8" spans="1:11" x14ac:dyDescent="0.2">
      <c r="A8" s="1">
        <v>7</v>
      </c>
      <c r="B8" s="3">
        <v>40544</v>
      </c>
      <c r="C8" s="1">
        <v>1</v>
      </c>
      <c r="D8" s="1">
        <v>6</v>
      </c>
      <c r="E8" s="1" t="b">
        <v>0</v>
      </c>
      <c r="F8" s="1">
        <v>6</v>
      </c>
      <c r="G8" s="1">
        <v>1</v>
      </c>
      <c r="H8" s="1">
        <v>0.22</v>
      </c>
      <c r="I8" s="1" t="str">
        <f>IF(Table1[[#This Row],[weekday]]&gt;=6,"weekend","weekday")</f>
        <v>weekend</v>
      </c>
      <c r="J8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8" s="1" t="str">
        <f>IF(Table1[[#This Row],[hr]]&lt;12,"Morning",IF(Table1[[#This Row],[hr]]&lt;17,"Afternoon",IF(Table1[[#This Row],[hr]]&lt;21,"Evening","Night")))</f>
        <v>Morning</v>
      </c>
    </row>
    <row r="9" spans="1:11" x14ac:dyDescent="0.2">
      <c r="A9" s="1">
        <v>8</v>
      </c>
      <c r="B9" s="3">
        <v>40544</v>
      </c>
      <c r="C9" s="1">
        <v>1</v>
      </c>
      <c r="D9" s="1">
        <v>7</v>
      </c>
      <c r="E9" s="1" t="b">
        <v>0</v>
      </c>
      <c r="F9" s="1">
        <v>6</v>
      </c>
      <c r="G9" s="1">
        <v>1</v>
      </c>
      <c r="H9" s="1">
        <v>0.2</v>
      </c>
      <c r="I9" s="1" t="str">
        <f>IF(Table1[[#This Row],[weekday]]&gt;=6,"weekend","weekday")</f>
        <v>weekend</v>
      </c>
      <c r="J9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9" s="1" t="str">
        <f>IF(Table1[[#This Row],[hr]]&lt;12,"Morning",IF(Table1[[#This Row],[hr]]&lt;17,"Afternoon",IF(Table1[[#This Row],[hr]]&lt;21,"Evening","Night")))</f>
        <v>Morning</v>
      </c>
    </row>
    <row r="10" spans="1:11" x14ac:dyDescent="0.2">
      <c r="A10" s="1">
        <v>9</v>
      </c>
      <c r="B10" s="3">
        <v>40544</v>
      </c>
      <c r="C10" s="1">
        <v>1</v>
      </c>
      <c r="D10" s="1">
        <v>8</v>
      </c>
      <c r="E10" s="1" t="b">
        <v>0</v>
      </c>
      <c r="F10" s="1">
        <v>6</v>
      </c>
      <c r="G10" s="1">
        <v>1</v>
      </c>
      <c r="H10" s="1">
        <v>0.24</v>
      </c>
      <c r="I10" s="1" t="str">
        <f>IF(Table1[[#This Row],[weekday]]&gt;=6,"weekend","weekday")</f>
        <v>weekend</v>
      </c>
      <c r="J10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10" s="1" t="str">
        <f>IF(Table1[[#This Row],[hr]]&lt;12,"Morning",IF(Table1[[#This Row],[hr]]&lt;17,"Afternoon",IF(Table1[[#This Row],[hr]]&lt;21,"Evening","Night")))</f>
        <v>Morning</v>
      </c>
    </row>
    <row r="11" spans="1:11" x14ac:dyDescent="0.2">
      <c r="A11" s="1">
        <v>10</v>
      </c>
      <c r="B11" s="3">
        <v>40544</v>
      </c>
      <c r="C11" s="1">
        <v>1</v>
      </c>
      <c r="D11" s="1">
        <v>9</v>
      </c>
      <c r="E11" s="1" t="b">
        <v>0</v>
      </c>
      <c r="F11" s="1">
        <v>6</v>
      </c>
      <c r="G11" s="1">
        <v>1</v>
      </c>
      <c r="H11" s="1">
        <v>0.32</v>
      </c>
      <c r="I11" s="1" t="str">
        <f>IF(Table1[[#This Row],[weekday]]&gt;=6,"weekend","weekday")</f>
        <v>weekend</v>
      </c>
      <c r="J11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11" s="1" t="str">
        <f>IF(Table1[[#This Row],[hr]]&lt;12,"Morning",IF(Table1[[#This Row],[hr]]&lt;17,"Afternoon",IF(Table1[[#This Row],[hr]]&lt;21,"Evening","Night")))</f>
        <v>Morning</v>
      </c>
    </row>
    <row r="12" spans="1:11" x14ac:dyDescent="0.2">
      <c r="A12" s="1">
        <v>11</v>
      </c>
      <c r="B12" s="3">
        <v>40544</v>
      </c>
      <c r="C12" s="1">
        <v>1</v>
      </c>
      <c r="D12" s="1">
        <v>10</v>
      </c>
      <c r="E12" s="1" t="b">
        <v>0</v>
      </c>
      <c r="F12" s="1">
        <v>6</v>
      </c>
      <c r="G12" s="1">
        <v>1</v>
      </c>
      <c r="H12" s="1">
        <v>0.38</v>
      </c>
      <c r="I12" s="1" t="str">
        <f>IF(Table1[[#This Row],[weekday]]&gt;=6,"weekend","weekday")</f>
        <v>weekend</v>
      </c>
      <c r="J12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12" s="1" t="str">
        <f>IF(Table1[[#This Row],[hr]]&lt;12,"Morning",IF(Table1[[#This Row],[hr]]&lt;17,"Afternoon",IF(Table1[[#This Row],[hr]]&lt;21,"Evening","Night")))</f>
        <v>Morning</v>
      </c>
    </row>
    <row r="13" spans="1:11" x14ac:dyDescent="0.2">
      <c r="A13" s="1">
        <v>12</v>
      </c>
      <c r="B13" s="3">
        <v>40544</v>
      </c>
      <c r="C13" s="1">
        <v>1</v>
      </c>
      <c r="D13" s="1">
        <v>11</v>
      </c>
      <c r="E13" s="1" t="b">
        <v>0</v>
      </c>
      <c r="F13" s="1">
        <v>6</v>
      </c>
      <c r="G13" s="1">
        <v>1</v>
      </c>
      <c r="H13" s="1">
        <v>0.36</v>
      </c>
      <c r="I13" s="1" t="str">
        <f>IF(Table1[[#This Row],[weekday]]&gt;=6,"weekend","weekday")</f>
        <v>weekend</v>
      </c>
      <c r="J13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13" s="1" t="str">
        <f>IF(Table1[[#This Row],[hr]]&lt;12,"Morning",IF(Table1[[#This Row],[hr]]&lt;17,"Afternoon",IF(Table1[[#This Row],[hr]]&lt;21,"Evening","Night")))</f>
        <v>Morning</v>
      </c>
    </row>
    <row r="14" spans="1:11" x14ac:dyDescent="0.2">
      <c r="A14" s="1">
        <v>13</v>
      </c>
      <c r="B14" s="3">
        <v>40544</v>
      </c>
      <c r="C14" s="1">
        <v>1</v>
      </c>
      <c r="D14" s="1">
        <v>12</v>
      </c>
      <c r="E14" s="1" t="b">
        <v>0</v>
      </c>
      <c r="F14" s="1">
        <v>6</v>
      </c>
      <c r="G14" s="1">
        <v>1</v>
      </c>
      <c r="H14" s="1">
        <v>0.42</v>
      </c>
      <c r="I14" s="1" t="str">
        <f>IF(Table1[[#This Row],[weekday]]&gt;=6,"weekend","weekday")</f>
        <v>weekend</v>
      </c>
      <c r="J14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14" s="1" t="str">
        <f>IF(Table1[[#This Row],[hr]]&lt;12,"Morning",IF(Table1[[#This Row],[hr]]&lt;17,"Afternoon",IF(Table1[[#This Row],[hr]]&lt;21,"Evening","Night")))</f>
        <v>Afternoon</v>
      </c>
    </row>
    <row r="15" spans="1:11" x14ac:dyDescent="0.2">
      <c r="A15" s="1">
        <v>14</v>
      </c>
      <c r="B15" s="3">
        <v>40544</v>
      </c>
      <c r="C15" s="1">
        <v>1</v>
      </c>
      <c r="D15" s="1">
        <v>13</v>
      </c>
      <c r="E15" s="1" t="b">
        <v>0</v>
      </c>
      <c r="F15" s="1">
        <v>6</v>
      </c>
      <c r="G15" s="1">
        <v>2</v>
      </c>
      <c r="H15" s="1">
        <v>0.46</v>
      </c>
      <c r="I15" s="1" t="str">
        <f>IF(Table1[[#This Row],[weekday]]&gt;=6,"weekend","weekday")</f>
        <v>weekend</v>
      </c>
      <c r="J15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15" s="1" t="str">
        <f>IF(Table1[[#This Row],[hr]]&lt;12,"Morning",IF(Table1[[#This Row],[hr]]&lt;17,"Afternoon",IF(Table1[[#This Row],[hr]]&lt;21,"Evening","Night")))</f>
        <v>Afternoon</v>
      </c>
    </row>
    <row r="16" spans="1:11" x14ac:dyDescent="0.2">
      <c r="A16" s="1">
        <v>15</v>
      </c>
      <c r="B16" s="3">
        <v>40544</v>
      </c>
      <c r="C16" s="1">
        <v>1</v>
      </c>
      <c r="D16" s="1">
        <v>14</v>
      </c>
      <c r="E16" s="1" t="b">
        <v>0</v>
      </c>
      <c r="F16" s="1">
        <v>6</v>
      </c>
      <c r="G16" s="1">
        <v>2</v>
      </c>
      <c r="H16" s="1">
        <v>0.46</v>
      </c>
      <c r="I16" s="1" t="str">
        <f>IF(Table1[[#This Row],[weekday]]&gt;=6,"weekend","weekday")</f>
        <v>weekend</v>
      </c>
      <c r="J16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16" s="1" t="str">
        <f>IF(Table1[[#This Row],[hr]]&lt;12,"Morning",IF(Table1[[#This Row],[hr]]&lt;17,"Afternoon",IF(Table1[[#This Row],[hr]]&lt;21,"Evening","Night")))</f>
        <v>Afternoon</v>
      </c>
    </row>
    <row r="17" spans="1:11" x14ac:dyDescent="0.2">
      <c r="A17" s="1">
        <v>16</v>
      </c>
      <c r="B17" s="3">
        <v>40544</v>
      </c>
      <c r="C17" s="1">
        <v>1</v>
      </c>
      <c r="D17" s="1">
        <v>15</v>
      </c>
      <c r="E17" s="1" t="b">
        <v>0</v>
      </c>
      <c r="F17" s="1">
        <v>6</v>
      </c>
      <c r="G17" s="1">
        <v>2</v>
      </c>
      <c r="H17" s="1">
        <v>0.44</v>
      </c>
      <c r="I17" s="1" t="str">
        <f>IF(Table1[[#This Row],[weekday]]&gt;=6,"weekend","weekday")</f>
        <v>weekend</v>
      </c>
      <c r="J17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17" s="1" t="str">
        <f>IF(Table1[[#This Row],[hr]]&lt;12,"Morning",IF(Table1[[#This Row],[hr]]&lt;17,"Afternoon",IF(Table1[[#This Row],[hr]]&lt;21,"Evening","Night")))</f>
        <v>Afternoon</v>
      </c>
    </row>
    <row r="18" spans="1:11" x14ac:dyDescent="0.2">
      <c r="A18" s="1">
        <v>17</v>
      </c>
      <c r="B18" s="3">
        <v>40544</v>
      </c>
      <c r="C18" s="1">
        <v>1</v>
      </c>
      <c r="D18" s="1">
        <v>16</v>
      </c>
      <c r="E18" s="1" t="b">
        <v>0</v>
      </c>
      <c r="F18" s="1">
        <v>6</v>
      </c>
      <c r="G18" s="1">
        <v>2</v>
      </c>
      <c r="H18" s="1">
        <v>0.42</v>
      </c>
      <c r="I18" s="1" t="str">
        <f>IF(Table1[[#This Row],[weekday]]&gt;=6,"weekend","weekday")</f>
        <v>weekend</v>
      </c>
      <c r="J18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18" s="1" t="str">
        <f>IF(Table1[[#This Row],[hr]]&lt;12,"Morning",IF(Table1[[#This Row],[hr]]&lt;17,"Afternoon",IF(Table1[[#This Row],[hr]]&lt;21,"Evening","Night")))</f>
        <v>Afternoon</v>
      </c>
    </row>
    <row r="19" spans="1:11" x14ac:dyDescent="0.2">
      <c r="A19" s="1">
        <v>18</v>
      </c>
      <c r="B19" s="3">
        <v>40544</v>
      </c>
      <c r="C19" s="1">
        <v>1</v>
      </c>
      <c r="D19" s="1">
        <v>17</v>
      </c>
      <c r="E19" s="1" t="b">
        <v>0</v>
      </c>
      <c r="F19" s="1">
        <v>6</v>
      </c>
      <c r="G19" s="1">
        <v>2</v>
      </c>
      <c r="H19" s="1">
        <v>0.44</v>
      </c>
      <c r="I19" s="1" t="str">
        <f>IF(Table1[[#This Row],[weekday]]&gt;=6,"weekend","weekday")</f>
        <v>weekend</v>
      </c>
      <c r="J19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19" s="1" t="str">
        <f>IF(Table1[[#This Row],[hr]]&lt;12,"Morning",IF(Table1[[#This Row],[hr]]&lt;17,"Afternoon",IF(Table1[[#This Row],[hr]]&lt;21,"Evening","Night")))</f>
        <v>Evening</v>
      </c>
    </row>
    <row r="20" spans="1:11" x14ac:dyDescent="0.2">
      <c r="A20" s="1">
        <v>19</v>
      </c>
      <c r="B20" s="3">
        <v>40544</v>
      </c>
      <c r="C20" s="1">
        <v>1</v>
      </c>
      <c r="D20" s="1">
        <v>18</v>
      </c>
      <c r="E20" s="1" t="b">
        <v>0</v>
      </c>
      <c r="F20" s="1">
        <v>6</v>
      </c>
      <c r="G20" s="1">
        <v>3</v>
      </c>
      <c r="H20" s="1">
        <v>0.42</v>
      </c>
      <c r="I20" s="1" t="str">
        <f>IF(Table1[[#This Row],[weekday]]&gt;=6,"weekend","weekday")</f>
        <v>weekend</v>
      </c>
      <c r="J20" s="1" t="str">
        <f>IF(Table1[[#This Row],[weathersit]]=1,"clear sky",IF(Table1[[#This Row],[weathersit]]=2,"Little cloudy",IF(Table1[[#This Row],[weathersit]]=3,"Little Rain",IF(Table1[[#This Row],[weathersit]]=4,"Heavy Rainfoll"," "))))</f>
        <v>Little Rain</v>
      </c>
      <c r="K20" s="1" t="str">
        <f>IF(Table1[[#This Row],[hr]]&lt;12,"Morning",IF(Table1[[#This Row],[hr]]&lt;17,"Afternoon",IF(Table1[[#This Row],[hr]]&lt;21,"Evening","Night")))</f>
        <v>Evening</v>
      </c>
    </row>
    <row r="21" spans="1:11" x14ac:dyDescent="0.2">
      <c r="A21" s="1">
        <v>20</v>
      </c>
      <c r="B21" s="3">
        <v>40544</v>
      </c>
      <c r="C21" s="1">
        <v>1</v>
      </c>
      <c r="D21" s="1">
        <v>19</v>
      </c>
      <c r="E21" s="1" t="b">
        <v>0</v>
      </c>
      <c r="F21" s="1">
        <v>6</v>
      </c>
      <c r="G21" s="1">
        <v>3</v>
      </c>
      <c r="H21" s="1">
        <v>0.42</v>
      </c>
      <c r="I21" s="1" t="str">
        <f>IF(Table1[[#This Row],[weekday]]&gt;=6,"weekend","weekday")</f>
        <v>weekend</v>
      </c>
      <c r="J21" s="1" t="str">
        <f>IF(Table1[[#This Row],[weathersit]]=1,"clear sky",IF(Table1[[#This Row],[weathersit]]=2,"Little cloudy",IF(Table1[[#This Row],[weathersit]]=3,"Little Rain",IF(Table1[[#This Row],[weathersit]]=4,"Heavy Rainfoll"," "))))</f>
        <v>Little Rain</v>
      </c>
      <c r="K21" s="1" t="str">
        <f>IF(Table1[[#This Row],[hr]]&lt;12,"Morning",IF(Table1[[#This Row],[hr]]&lt;17,"Afternoon",IF(Table1[[#This Row],[hr]]&lt;21,"Evening","Night")))</f>
        <v>Evening</v>
      </c>
    </row>
    <row r="22" spans="1:11" x14ac:dyDescent="0.2">
      <c r="A22" s="1">
        <v>21</v>
      </c>
      <c r="B22" s="3">
        <v>40544</v>
      </c>
      <c r="C22" s="1">
        <v>1</v>
      </c>
      <c r="D22" s="1">
        <v>20</v>
      </c>
      <c r="E22" s="1" t="b">
        <v>0</v>
      </c>
      <c r="F22" s="1">
        <v>6</v>
      </c>
      <c r="G22" s="1">
        <v>2</v>
      </c>
      <c r="H22" s="1">
        <v>0.4</v>
      </c>
      <c r="I22" s="1" t="str">
        <f>IF(Table1[[#This Row],[weekday]]&gt;=6,"weekend","weekday")</f>
        <v>weekend</v>
      </c>
      <c r="J22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22" s="1" t="str">
        <f>IF(Table1[[#This Row],[hr]]&lt;12,"Morning",IF(Table1[[#This Row],[hr]]&lt;17,"Afternoon",IF(Table1[[#This Row],[hr]]&lt;21,"Evening","Night")))</f>
        <v>Evening</v>
      </c>
    </row>
    <row r="23" spans="1:11" x14ac:dyDescent="0.2">
      <c r="A23" s="1">
        <v>22</v>
      </c>
      <c r="B23" s="3">
        <v>40544</v>
      </c>
      <c r="C23" s="1">
        <v>1</v>
      </c>
      <c r="D23" s="1">
        <v>21</v>
      </c>
      <c r="E23" s="1" t="b">
        <v>0</v>
      </c>
      <c r="F23" s="1">
        <v>6</v>
      </c>
      <c r="G23" s="1">
        <v>2</v>
      </c>
      <c r="H23" s="1">
        <v>0.4</v>
      </c>
      <c r="I23" s="1" t="str">
        <f>IF(Table1[[#This Row],[weekday]]&gt;=6,"weekend","weekday")</f>
        <v>weekend</v>
      </c>
      <c r="J23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23" s="1" t="str">
        <f>IF(Table1[[#This Row],[hr]]&lt;12,"Morning",IF(Table1[[#This Row],[hr]]&lt;17,"Afternoon",IF(Table1[[#This Row],[hr]]&lt;21,"Evening","Night")))</f>
        <v>Night</v>
      </c>
    </row>
    <row r="24" spans="1:11" x14ac:dyDescent="0.2">
      <c r="A24" s="1">
        <v>23</v>
      </c>
      <c r="B24" s="3">
        <v>40544</v>
      </c>
      <c r="C24" s="1">
        <v>1</v>
      </c>
      <c r="D24" s="1">
        <v>22</v>
      </c>
      <c r="E24" s="1" t="b">
        <v>0</v>
      </c>
      <c r="F24" s="1">
        <v>6</v>
      </c>
      <c r="G24" s="1">
        <v>2</v>
      </c>
      <c r="H24" s="1">
        <v>0.4</v>
      </c>
      <c r="I24" s="1" t="str">
        <f>IF(Table1[[#This Row],[weekday]]&gt;=6,"weekend","weekday")</f>
        <v>weekend</v>
      </c>
      <c r="J24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24" s="1" t="str">
        <f>IF(Table1[[#This Row],[hr]]&lt;12,"Morning",IF(Table1[[#This Row],[hr]]&lt;17,"Afternoon",IF(Table1[[#This Row],[hr]]&lt;21,"Evening","Night")))</f>
        <v>Night</v>
      </c>
    </row>
    <row r="25" spans="1:11" x14ac:dyDescent="0.2">
      <c r="A25" s="1">
        <v>24</v>
      </c>
      <c r="B25" s="3">
        <v>40544</v>
      </c>
      <c r="C25" s="1">
        <v>1</v>
      </c>
      <c r="D25" s="1">
        <v>23</v>
      </c>
      <c r="E25" s="1" t="b">
        <v>0</v>
      </c>
      <c r="F25" s="1">
        <v>6</v>
      </c>
      <c r="G25" s="1">
        <v>2</v>
      </c>
      <c r="H25" s="1">
        <v>0.46</v>
      </c>
      <c r="I25" s="1" t="str">
        <f>IF(Table1[[#This Row],[weekday]]&gt;=6,"weekend","weekday")</f>
        <v>weekend</v>
      </c>
      <c r="J25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25" s="1" t="str">
        <f>IF(Table1[[#This Row],[hr]]&lt;12,"Morning",IF(Table1[[#This Row],[hr]]&lt;17,"Afternoon",IF(Table1[[#This Row],[hr]]&lt;21,"Evening","Night")))</f>
        <v>Night</v>
      </c>
    </row>
    <row r="26" spans="1:11" x14ac:dyDescent="0.2">
      <c r="A26" s="1">
        <v>25</v>
      </c>
      <c r="B26" s="3">
        <v>40545</v>
      </c>
      <c r="C26" s="1">
        <v>1</v>
      </c>
      <c r="D26" s="1">
        <v>0</v>
      </c>
      <c r="E26" s="1" t="b">
        <v>0</v>
      </c>
      <c r="F26" s="1">
        <v>0</v>
      </c>
      <c r="G26" s="1">
        <v>2</v>
      </c>
      <c r="H26" s="1">
        <v>0.46</v>
      </c>
      <c r="I26" s="1" t="str">
        <f>IF(Table1[[#This Row],[weekday]]&gt;=6,"weekend","weekday")</f>
        <v>weekday</v>
      </c>
      <c r="J26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26" s="1" t="str">
        <f>IF(Table1[[#This Row],[hr]]&lt;12,"Morning",IF(Table1[[#This Row],[hr]]&lt;17,"Afternoon",IF(Table1[[#This Row],[hr]]&lt;21,"Evening","Night")))</f>
        <v>Morning</v>
      </c>
    </row>
    <row r="27" spans="1:11" x14ac:dyDescent="0.2">
      <c r="A27" s="1">
        <v>26</v>
      </c>
      <c r="B27" s="3">
        <v>40545</v>
      </c>
      <c r="C27" s="1">
        <v>1</v>
      </c>
      <c r="D27" s="1">
        <v>1</v>
      </c>
      <c r="E27" s="1" t="b">
        <v>0</v>
      </c>
      <c r="F27" s="1">
        <v>0</v>
      </c>
      <c r="G27" s="1">
        <v>2</v>
      </c>
      <c r="H27" s="1">
        <v>0.44</v>
      </c>
      <c r="I27" s="1" t="str">
        <f>IF(Table1[[#This Row],[weekday]]&gt;=6,"weekend","weekday")</f>
        <v>weekday</v>
      </c>
      <c r="J27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27" s="1" t="str">
        <f>IF(Table1[[#This Row],[hr]]&lt;12,"Morning",IF(Table1[[#This Row],[hr]]&lt;17,"Afternoon",IF(Table1[[#This Row],[hr]]&lt;21,"Evening","Night")))</f>
        <v>Morning</v>
      </c>
    </row>
    <row r="28" spans="1:11" x14ac:dyDescent="0.2">
      <c r="A28" s="1">
        <v>27</v>
      </c>
      <c r="B28" s="3">
        <v>40545</v>
      </c>
      <c r="C28" s="1">
        <v>1</v>
      </c>
      <c r="D28" s="1">
        <v>2</v>
      </c>
      <c r="E28" s="1" t="b">
        <v>0</v>
      </c>
      <c r="F28" s="1">
        <v>0</v>
      </c>
      <c r="G28" s="1">
        <v>2</v>
      </c>
      <c r="H28" s="1">
        <v>0.42</v>
      </c>
      <c r="I28" s="1" t="str">
        <f>IF(Table1[[#This Row],[weekday]]&gt;=6,"weekend","weekday")</f>
        <v>weekday</v>
      </c>
      <c r="J28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28" s="1" t="str">
        <f>IF(Table1[[#This Row],[hr]]&lt;12,"Morning",IF(Table1[[#This Row],[hr]]&lt;17,"Afternoon",IF(Table1[[#This Row],[hr]]&lt;21,"Evening","Night")))</f>
        <v>Morning</v>
      </c>
    </row>
    <row r="29" spans="1:11" x14ac:dyDescent="0.2">
      <c r="A29" s="1">
        <v>28</v>
      </c>
      <c r="B29" s="3">
        <v>40545</v>
      </c>
      <c r="C29" s="1">
        <v>1</v>
      </c>
      <c r="D29" s="1">
        <v>3</v>
      </c>
      <c r="E29" s="1" t="b">
        <v>0</v>
      </c>
      <c r="F29" s="1">
        <v>0</v>
      </c>
      <c r="G29" s="1">
        <v>2</v>
      </c>
      <c r="H29" s="1">
        <v>0.46</v>
      </c>
      <c r="I29" s="1" t="str">
        <f>IF(Table1[[#This Row],[weekday]]&gt;=6,"weekend","weekday")</f>
        <v>weekday</v>
      </c>
      <c r="J29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29" s="1" t="str">
        <f>IF(Table1[[#This Row],[hr]]&lt;12,"Morning",IF(Table1[[#This Row],[hr]]&lt;17,"Afternoon",IF(Table1[[#This Row],[hr]]&lt;21,"Evening","Night")))</f>
        <v>Morning</v>
      </c>
    </row>
    <row r="30" spans="1:11" x14ac:dyDescent="0.2">
      <c r="A30" s="1">
        <v>29</v>
      </c>
      <c r="B30" s="3">
        <v>40545</v>
      </c>
      <c r="C30" s="1">
        <v>1</v>
      </c>
      <c r="D30" s="1">
        <v>4</v>
      </c>
      <c r="E30" s="1" t="b">
        <v>0</v>
      </c>
      <c r="F30" s="1">
        <v>0</v>
      </c>
      <c r="G30" s="1">
        <v>2</v>
      </c>
      <c r="H30" s="1">
        <v>0.46</v>
      </c>
      <c r="I30" s="1" t="str">
        <f>IF(Table1[[#This Row],[weekday]]&gt;=6,"weekend","weekday")</f>
        <v>weekday</v>
      </c>
      <c r="J30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30" s="1" t="str">
        <f>IF(Table1[[#This Row],[hr]]&lt;12,"Morning",IF(Table1[[#This Row],[hr]]&lt;17,"Afternoon",IF(Table1[[#This Row],[hr]]&lt;21,"Evening","Night")))</f>
        <v>Morning</v>
      </c>
    </row>
    <row r="31" spans="1:11" x14ac:dyDescent="0.2">
      <c r="A31" s="1">
        <v>30</v>
      </c>
      <c r="B31" s="3">
        <v>40545</v>
      </c>
      <c r="C31" s="1">
        <v>1</v>
      </c>
      <c r="D31" s="1">
        <v>6</v>
      </c>
      <c r="E31" s="1" t="b">
        <v>0</v>
      </c>
      <c r="F31" s="1">
        <v>0</v>
      </c>
      <c r="G31" s="1">
        <v>3</v>
      </c>
      <c r="H31" s="1">
        <v>0.42</v>
      </c>
      <c r="I31" s="1" t="str">
        <f>IF(Table1[[#This Row],[weekday]]&gt;=6,"weekend","weekday")</f>
        <v>weekday</v>
      </c>
      <c r="J31" s="1" t="str">
        <f>IF(Table1[[#This Row],[weathersit]]=1,"clear sky",IF(Table1[[#This Row],[weathersit]]=2,"Little cloudy",IF(Table1[[#This Row],[weathersit]]=3,"Little Rain",IF(Table1[[#This Row],[weathersit]]=4,"Heavy Rainfoll"," "))))</f>
        <v>Little Rain</v>
      </c>
      <c r="K31" s="1" t="str">
        <f>IF(Table1[[#This Row],[hr]]&lt;12,"Morning",IF(Table1[[#This Row],[hr]]&lt;17,"Afternoon",IF(Table1[[#This Row],[hr]]&lt;21,"Evening","Night")))</f>
        <v>Morning</v>
      </c>
    </row>
    <row r="32" spans="1:11" x14ac:dyDescent="0.2">
      <c r="A32" s="1">
        <v>31</v>
      </c>
      <c r="B32" s="3">
        <v>40545</v>
      </c>
      <c r="C32" s="1">
        <v>1</v>
      </c>
      <c r="D32" s="1">
        <v>7</v>
      </c>
      <c r="E32" s="1" t="b">
        <v>0</v>
      </c>
      <c r="F32" s="1">
        <v>0</v>
      </c>
      <c r="G32" s="1">
        <v>2</v>
      </c>
      <c r="H32" s="1">
        <v>0.4</v>
      </c>
      <c r="I32" s="1" t="str">
        <f>IF(Table1[[#This Row],[weekday]]&gt;=6,"weekend","weekday")</f>
        <v>weekday</v>
      </c>
      <c r="J32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32" s="1" t="str">
        <f>IF(Table1[[#This Row],[hr]]&lt;12,"Morning",IF(Table1[[#This Row],[hr]]&lt;17,"Afternoon",IF(Table1[[#This Row],[hr]]&lt;21,"Evening","Night")))</f>
        <v>Morning</v>
      </c>
    </row>
    <row r="33" spans="1:11" x14ac:dyDescent="0.2">
      <c r="A33" s="1">
        <v>32</v>
      </c>
      <c r="B33" s="3">
        <v>40545</v>
      </c>
      <c r="C33" s="1">
        <v>1</v>
      </c>
      <c r="D33" s="1">
        <v>8</v>
      </c>
      <c r="E33" s="1" t="b">
        <v>0</v>
      </c>
      <c r="F33" s="1">
        <v>0</v>
      </c>
      <c r="G33" s="1">
        <v>3</v>
      </c>
      <c r="H33" s="1">
        <v>0.4</v>
      </c>
      <c r="I33" s="1" t="str">
        <f>IF(Table1[[#This Row],[weekday]]&gt;=6,"weekend","weekday")</f>
        <v>weekday</v>
      </c>
      <c r="J33" s="1" t="str">
        <f>IF(Table1[[#This Row],[weathersit]]=1,"clear sky",IF(Table1[[#This Row],[weathersit]]=2,"Little cloudy",IF(Table1[[#This Row],[weathersit]]=3,"Little Rain",IF(Table1[[#This Row],[weathersit]]=4,"Heavy Rainfoll"," "))))</f>
        <v>Little Rain</v>
      </c>
      <c r="K33" s="1" t="str">
        <f>IF(Table1[[#This Row],[hr]]&lt;12,"Morning",IF(Table1[[#This Row],[hr]]&lt;17,"Afternoon",IF(Table1[[#This Row],[hr]]&lt;21,"Evening","Night")))</f>
        <v>Morning</v>
      </c>
    </row>
    <row r="34" spans="1:11" x14ac:dyDescent="0.2">
      <c r="A34" s="1">
        <v>33</v>
      </c>
      <c r="B34" s="3">
        <v>40545</v>
      </c>
      <c r="C34" s="1">
        <v>1</v>
      </c>
      <c r="D34" s="1">
        <v>9</v>
      </c>
      <c r="E34" s="1" t="b">
        <v>0</v>
      </c>
      <c r="F34" s="1">
        <v>0</v>
      </c>
      <c r="G34" s="1">
        <v>2</v>
      </c>
      <c r="H34" s="1">
        <v>0.38</v>
      </c>
      <c r="I34" s="1" t="str">
        <f>IF(Table1[[#This Row],[weekday]]&gt;=6,"weekend","weekday")</f>
        <v>weekday</v>
      </c>
      <c r="J34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34" s="1" t="str">
        <f>IF(Table1[[#This Row],[hr]]&lt;12,"Morning",IF(Table1[[#This Row],[hr]]&lt;17,"Afternoon",IF(Table1[[#This Row],[hr]]&lt;21,"Evening","Night")))</f>
        <v>Morning</v>
      </c>
    </row>
    <row r="35" spans="1:11" x14ac:dyDescent="0.2">
      <c r="A35" s="1">
        <v>34</v>
      </c>
      <c r="B35" s="3">
        <v>40545</v>
      </c>
      <c r="C35" s="1">
        <v>1</v>
      </c>
      <c r="D35" s="1">
        <v>10</v>
      </c>
      <c r="E35" s="1" t="b">
        <v>0</v>
      </c>
      <c r="F35" s="1">
        <v>0</v>
      </c>
      <c r="G35" s="1">
        <v>2</v>
      </c>
      <c r="H35" s="1">
        <v>0.36</v>
      </c>
      <c r="I35" s="1" t="str">
        <f>IF(Table1[[#This Row],[weekday]]&gt;=6,"weekend","weekday")</f>
        <v>weekday</v>
      </c>
      <c r="J35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35" s="1" t="str">
        <f>IF(Table1[[#This Row],[hr]]&lt;12,"Morning",IF(Table1[[#This Row],[hr]]&lt;17,"Afternoon",IF(Table1[[#This Row],[hr]]&lt;21,"Evening","Night")))</f>
        <v>Morning</v>
      </c>
    </row>
    <row r="36" spans="1:11" x14ac:dyDescent="0.2">
      <c r="A36" s="1">
        <v>35</v>
      </c>
      <c r="B36" s="3">
        <v>40545</v>
      </c>
      <c r="C36" s="1">
        <v>1</v>
      </c>
      <c r="D36" s="1">
        <v>11</v>
      </c>
      <c r="E36" s="1" t="b">
        <v>0</v>
      </c>
      <c r="F36" s="1">
        <v>0</v>
      </c>
      <c r="G36" s="1">
        <v>2</v>
      </c>
      <c r="H36" s="1">
        <v>0.36</v>
      </c>
      <c r="I36" s="1" t="str">
        <f>IF(Table1[[#This Row],[weekday]]&gt;=6,"weekend","weekday")</f>
        <v>weekday</v>
      </c>
      <c r="J36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36" s="1" t="str">
        <f>IF(Table1[[#This Row],[hr]]&lt;12,"Morning",IF(Table1[[#This Row],[hr]]&lt;17,"Afternoon",IF(Table1[[#This Row],[hr]]&lt;21,"Evening","Night")))</f>
        <v>Morning</v>
      </c>
    </row>
    <row r="37" spans="1:11" x14ac:dyDescent="0.2">
      <c r="A37" s="1">
        <v>36</v>
      </c>
      <c r="B37" s="3">
        <v>40545</v>
      </c>
      <c r="C37" s="1">
        <v>1</v>
      </c>
      <c r="D37" s="1">
        <v>12</v>
      </c>
      <c r="E37" s="1" t="b">
        <v>0</v>
      </c>
      <c r="F37" s="1">
        <v>0</v>
      </c>
      <c r="G37" s="1">
        <v>2</v>
      </c>
      <c r="H37" s="1">
        <v>0.36</v>
      </c>
      <c r="I37" s="1" t="str">
        <f>IF(Table1[[#This Row],[weekday]]&gt;=6,"weekend","weekday")</f>
        <v>weekday</v>
      </c>
      <c r="J37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37" s="1" t="str">
        <f>IF(Table1[[#This Row],[hr]]&lt;12,"Morning",IF(Table1[[#This Row],[hr]]&lt;17,"Afternoon",IF(Table1[[#This Row],[hr]]&lt;21,"Evening","Night")))</f>
        <v>Afternoon</v>
      </c>
    </row>
    <row r="38" spans="1:11" x14ac:dyDescent="0.2">
      <c r="A38" s="1">
        <v>37</v>
      </c>
      <c r="B38" s="3">
        <v>40545</v>
      </c>
      <c r="C38" s="1">
        <v>1</v>
      </c>
      <c r="D38" s="1">
        <v>13</v>
      </c>
      <c r="E38" s="1" t="b">
        <v>0</v>
      </c>
      <c r="F38" s="1">
        <v>0</v>
      </c>
      <c r="G38" s="1">
        <v>2</v>
      </c>
      <c r="H38" s="1">
        <v>0.36</v>
      </c>
      <c r="I38" s="1" t="str">
        <f>IF(Table1[[#This Row],[weekday]]&gt;=6,"weekend","weekday")</f>
        <v>weekday</v>
      </c>
      <c r="J38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38" s="1" t="str">
        <f>IF(Table1[[#This Row],[hr]]&lt;12,"Morning",IF(Table1[[#This Row],[hr]]&lt;17,"Afternoon",IF(Table1[[#This Row],[hr]]&lt;21,"Evening","Night")))</f>
        <v>Afternoon</v>
      </c>
    </row>
    <row r="39" spans="1:11" x14ac:dyDescent="0.2">
      <c r="A39" s="1">
        <v>38</v>
      </c>
      <c r="B39" s="3">
        <v>40545</v>
      </c>
      <c r="C39" s="1">
        <v>1</v>
      </c>
      <c r="D39" s="1">
        <v>14</v>
      </c>
      <c r="E39" s="1" t="b">
        <v>0</v>
      </c>
      <c r="F39" s="1">
        <v>0</v>
      </c>
      <c r="G39" s="1">
        <v>3</v>
      </c>
      <c r="H39" s="1">
        <v>0.36</v>
      </c>
      <c r="I39" s="1" t="str">
        <f>IF(Table1[[#This Row],[weekday]]&gt;=6,"weekend","weekday")</f>
        <v>weekday</v>
      </c>
      <c r="J39" s="1" t="str">
        <f>IF(Table1[[#This Row],[weathersit]]=1,"clear sky",IF(Table1[[#This Row],[weathersit]]=2,"Little cloudy",IF(Table1[[#This Row],[weathersit]]=3,"Little Rain",IF(Table1[[#This Row],[weathersit]]=4,"Heavy Rainfoll"," "))))</f>
        <v>Little Rain</v>
      </c>
      <c r="K39" s="1" t="str">
        <f>IF(Table1[[#This Row],[hr]]&lt;12,"Morning",IF(Table1[[#This Row],[hr]]&lt;17,"Afternoon",IF(Table1[[#This Row],[hr]]&lt;21,"Evening","Night")))</f>
        <v>Afternoon</v>
      </c>
    </row>
    <row r="40" spans="1:11" x14ac:dyDescent="0.2">
      <c r="A40" s="1">
        <v>39</v>
      </c>
      <c r="B40" s="3">
        <v>40545</v>
      </c>
      <c r="C40" s="1">
        <v>1</v>
      </c>
      <c r="D40" s="1">
        <v>15</v>
      </c>
      <c r="E40" s="1" t="b">
        <v>0</v>
      </c>
      <c r="F40" s="1">
        <v>0</v>
      </c>
      <c r="G40" s="1">
        <v>3</v>
      </c>
      <c r="H40" s="1">
        <v>0.34</v>
      </c>
      <c r="I40" s="1" t="str">
        <f>IF(Table1[[#This Row],[weekday]]&gt;=6,"weekend","weekday")</f>
        <v>weekday</v>
      </c>
      <c r="J40" s="1" t="str">
        <f>IF(Table1[[#This Row],[weathersit]]=1,"clear sky",IF(Table1[[#This Row],[weathersit]]=2,"Little cloudy",IF(Table1[[#This Row],[weathersit]]=3,"Little Rain",IF(Table1[[#This Row],[weathersit]]=4,"Heavy Rainfoll"," "))))</f>
        <v>Little Rain</v>
      </c>
      <c r="K40" s="1" t="str">
        <f>IF(Table1[[#This Row],[hr]]&lt;12,"Morning",IF(Table1[[#This Row],[hr]]&lt;17,"Afternoon",IF(Table1[[#This Row],[hr]]&lt;21,"Evening","Night")))</f>
        <v>Afternoon</v>
      </c>
    </row>
    <row r="41" spans="1:11" x14ac:dyDescent="0.2">
      <c r="A41" s="1">
        <v>40</v>
      </c>
      <c r="B41" s="3">
        <v>40545</v>
      </c>
      <c r="C41" s="1">
        <v>1</v>
      </c>
      <c r="D41" s="1">
        <v>16</v>
      </c>
      <c r="E41" s="1" t="b">
        <v>0</v>
      </c>
      <c r="F41" s="1">
        <v>0</v>
      </c>
      <c r="G41" s="1">
        <v>3</v>
      </c>
      <c r="H41" s="1">
        <v>0.34</v>
      </c>
      <c r="I41" s="1" t="str">
        <f>IF(Table1[[#This Row],[weekday]]&gt;=6,"weekend","weekday")</f>
        <v>weekday</v>
      </c>
      <c r="J41" s="1" t="str">
        <f>IF(Table1[[#This Row],[weathersit]]=1,"clear sky",IF(Table1[[#This Row],[weathersit]]=2,"Little cloudy",IF(Table1[[#This Row],[weathersit]]=3,"Little Rain",IF(Table1[[#This Row],[weathersit]]=4,"Heavy Rainfoll"," "))))</f>
        <v>Little Rain</v>
      </c>
      <c r="K41" s="1" t="str">
        <f>IF(Table1[[#This Row],[hr]]&lt;12,"Morning",IF(Table1[[#This Row],[hr]]&lt;17,"Afternoon",IF(Table1[[#This Row],[hr]]&lt;21,"Evening","Night")))</f>
        <v>Afternoon</v>
      </c>
    </row>
    <row r="42" spans="1:11" x14ac:dyDescent="0.2">
      <c r="A42" s="1">
        <v>41</v>
      </c>
      <c r="B42" s="3">
        <v>40545</v>
      </c>
      <c r="C42" s="1">
        <v>1</v>
      </c>
      <c r="D42" s="1">
        <v>17</v>
      </c>
      <c r="E42" s="1" t="b">
        <v>0</v>
      </c>
      <c r="F42" s="1">
        <v>0</v>
      </c>
      <c r="G42" s="1">
        <v>1</v>
      </c>
      <c r="H42" s="1">
        <v>0.34</v>
      </c>
      <c r="I42" s="1" t="str">
        <f>IF(Table1[[#This Row],[weekday]]&gt;=6,"weekend","weekday")</f>
        <v>weekday</v>
      </c>
      <c r="J42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42" s="1" t="str">
        <f>IF(Table1[[#This Row],[hr]]&lt;12,"Morning",IF(Table1[[#This Row],[hr]]&lt;17,"Afternoon",IF(Table1[[#This Row],[hr]]&lt;21,"Evening","Night")))</f>
        <v>Evening</v>
      </c>
    </row>
    <row r="43" spans="1:11" x14ac:dyDescent="0.2">
      <c r="A43" s="1">
        <v>42</v>
      </c>
      <c r="B43" s="3">
        <v>40545</v>
      </c>
      <c r="C43" s="1">
        <v>1</v>
      </c>
      <c r="D43" s="1">
        <v>18</v>
      </c>
      <c r="E43" s="1" t="b">
        <v>0</v>
      </c>
      <c r="F43" s="1">
        <v>0</v>
      </c>
      <c r="G43" s="1">
        <v>2</v>
      </c>
      <c r="H43" s="1">
        <v>0.36</v>
      </c>
      <c r="I43" s="1" t="str">
        <f>IF(Table1[[#This Row],[weekday]]&gt;=6,"weekend","weekday")</f>
        <v>weekday</v>
      </c>
      <c r="J43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43" s="1" t="str">
        <f>IF(Table1[[#This Row],[hr]]&lt;12,"Morning",IF(Table1[[#This Row],[hr]]&lt;17,"Afternoon",IF(Table1[[#This Row],[hr]]&lt;21,"Evening","Night")))</f>
        <v>Evening</v>
      </c>
    </row>
    <row r="44" spans="1:11" x14ac:dyDescent="0.2">
      <c r="A44" s="1">
        <v>43</v>
      </c>
      <c r="B44" s="3">
        <v>40545</v>
      </c>
      <c r="C44" s="1">
        <v>1</v>
      </c>
      <c r="D44" s="1">
        <v>19</v>
      </c>
      <c r="E44" s="1" t="b">
        <v>0</v>
      </c>
      <c r="F44" s="1">
        <v>0</v>
      </c>
      <c r="G44" s="1">
        <v>1</v>
      </c>
      <c r="H44" s="1">
        <v>0.32</v>
      </c>
      <c r="I44" s="1" t="str">
        <f>IF(Table1[[#This Row],[weekday]]&gt;=6,"weekend","weekday")</f>
        <v>weekday</v>
      </c>
      <c r="J44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44" s="1" t="str">
        <f>IF(Table1[[#This Row],[hr]]&lt;12,"Morning",IF(Table1[[#This Row],[hr]]&lt;17,"Afternoon",IF(Table1[[#This Row],[hr]]&lt;21,"Evening","Night")))</f>
        <v>Evening</v>
      </c>
    </row>
    <row r="45" spans="1:11" x14ac:dyDescent="0.2">
      <c r="A45" s="1">
        <v>44</v>
      </c>
      <c r="B45" s="3">
        <v>40545</v>
      </c>
      <c r="C45" s="1">
        <v>1</v>
      </c>
      <c r="D45" s="1">
        <v>20</v>
      </c>
      <c r="E45" s="1" t="b">
        <v>0</v>
      </c>
      <c r="F45" s="1">
        <v>0</v>
      </c>
      <c r="G45" s="1">
        <v>1</v>
      </c>
      <c r="H45" s="1">
        <v>0.3</v>
      </c>
      <c r="I45" s="1" t="str">
        <f>IF(Table1[[#This Row],[weekday]]&gt;=6,"weekend","weekday")</f>
        <v>weekday</v>
      </c>
      <c r="J45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45" s="1" t="str">
        <f>IF(Table1[[#This Row],[hr]]&lt;12,"Morning",IF(Table1[[#This Row],[hr]]&lt;17,"Afternoon",IF(Table1[[#This Row],[hr]]&lt;21,"Evening","Night")))</f>
        <v>Evening</v>
      </c>
    </row>
    <row r="46" spans="1:11" x14ac:dyDescent="0.2">
      <c r="A46" s="1">
        <v>45</v>
      </c>
      <c r="B46" s="3">
        <v>40545</v>
      </c>
      <c r="C46" s="1">
        <v>1</v>
      </c>
      <c r="D46" s="1">
        <v>21</v>
      </c>
      <c r="E46" s="1" t="b">
        <v>0</v>
      </c>
      <c r="F46" s="1">
        <v>0</v>
      </c>
      <c r="G46" s="1">
        <v>1</v>
      </c>
      <c r="H46" s="1">
        <v>0.26</v>
      </c>
      <c r="I46" s="1" t="str">
        <f>IF(Table1[[#This Row],[weekday]]&gt;=6,"weekend","weekday")</f>
        <v>weekday</v>
      </c>
      <c r="J46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46" s="1" t="str">
        <f>IF(Table1[[#This Row],[hr]]&lt;12,"Morning",IF(Table1[[#This Row],[hr]]&lt;17,"Afternoon",IF(Table1[[#This Row],[hr]]&lt;21,"Evening","Night")))</f>
        <v>Night</v>
      </c>
    </row>
    <row r="47" spans="1:11" x14ac:dyDescent="0.2">
      <c r="A47" s="1">
        <v>46</v>
      </c>
      <c r="B47" s="3">
        <v>40545</v>
      </c>
      <c r="C47" s="1">
        <v>1</v>
      </c>
      <c r="D47" s="1">
        <v>22</v>
      </c>
      <c r="E47" s="1" t="b">
        <v>0</v>
      </c>
      <c r="F47" s="1">
        <v>0</v>
      </c>
      <c r="G47" s="1">
        <v>1</v>
      </c>
      <c r="H47" s="1">
        <v>0.24</v>
      </c>
      <c r="I47" s="1" t="str">
        <f>IF(Table1[[#This Row],[weekday]]&gt;=6,"weekend","weekday")</f>
        <v>weekday</v>
      </c>
      <c r="J47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47" s="1" t="str">
        <f>IF(Table1[[#This Row],[hr]]&lt;12,"Morning",IF(Table1[[#This Row],[hr]]&lt;17,"Afternoon",IF(Table1[[#This Row],[hr]]&lt;21,"Evening","Night")))</f>
        <v>Night</v>
      </c>
    </row>
    <row r="48" spans="1:11" x14ac:dyDescent="0.2">
      <c r="A48" s="1">
        <v>47</v>
      </c>
      <c r="B48" s="3">
        <v>40545</v>
      </c>
      <c r="C48" s="1">
        <v>1</v>
      </c>
      <c r="D48" s="1">
        <v>23</v>
      </c>
      <c r="E48" s="1" t="b">
        <v>0</v>
      </c>
      <c r="F48" s="1">
        <v>0</v>
      </c>
      <c r="G48" s="1">
        <v>1</v>
      </c>
      <c r="H48" s="1">
        <v>0.22</v>
      </c>
      <c r="I48" s="1" t="str">
        <f>IF(Table1[[#This Row],[weekday]]&gt;=6,"weekend","weekday")</f>
        <v>weekday</v>
      </c>
      <c r="J48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48" s="1" t="str">
        <f>IF(Table1[[#This Row],[hr]]&lt;12,"Morning",IF(Table1[[#This Row],[hr]]&lt;17,"Afternoon",IF(Table1[[#This Row],[hr]]&lt;21,"Evening","Night")))</f>
        <v>Night</v>
      </c>
    </row>
    <row r="49" spans="1:11" x14ac:dyDescent="0.2">
      <c r="A49" s="1">
        <v>48</v>
      </c>
      <c r="B49" s="3">
        <v>40546</v>
      </c>
      <c r="C49" s="1">
        <v>1</v>
      </c>
      <c r="D49" s="1">
        <v>0</v>
      </c>
      <c r="E49" s="1" t="b">
        <v>0</v>
      </c>
      <c r="F49" s="1">
        <v>1</v>
      </c>
      <c r="G49" s="1">
        <v>1</v>
      </c>
      <c r="H49" s="1">
        <v>0.22</v>
      </c>
      <c r="I49" s="1" t="str">
        <f>IF(Table1[[#This Row],[weekday]]&gt;=6,"weekend","weekday")</f>
        <v>weekday</v>
      </c>
      <c r="J49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49" s="1" t="str">
        <f>IF(Table1[[#This Row],[hr]]&lt;12,"Morning",IF(Table1[[#This Row],[hr]]&lt;17,"Afternoon",IF(Table1[[#This Row],[hr]]&lt;21,"Evening","Night")))</f>
        <v>Morning</v>
      </c>
    </row>
    <row r="50" spans="1:11" x14ac:dyDescent="0.2">
      <c r="A50" s="1">
        <v>49</v>
      </c>
      <c r="B50" s="3">
        <v>40546</v>
      </c>
      <c r="C50" s="1">
        <v>1</v>
      </c>
      <c r="D50" s="1">
        <v>1</v>
      </c>
      <c r="E50" s="1" t="b">
        <v>0</v>
      </c>
      <c r="F50" s="1">
        <v>1</v>
      </c>
      <c r="G50" s="1">
        <v>1</v>
      </c>
      <c r="H50" s="1">
        <v>0.2</v>
      </c>
      <c r="I50" s="1" t="str">
        <f>IF(Table1[[#This Row],[weekday]]&gt;=6,"weekend","weekday")</f>
        <v>weekday</v>
      </c>
      <c r="J50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50" s="1" t="str">
        <f>IF(Table1[[#This Row],[hr]]&lt;12,"Morning",IF(Table1[[#This Row],[hr]]&lt;17,"Afternoon",IF(Table1[[#This Row],[hr]]&lt;21,"Evening","Night")))</f>
        <v>Morning</v>
      </c>
    </row>
    <row r="51" spans="1:11" x14ac:dyDescent="0.2">
      <c r="A51" s="1">
        <v>50</v>
      </c>
      <c r="B51" s="3">
        <v>40546</v>
      </c>
      <c r="C51" s="1">
        <v>1</v>
      </c>
      <c r="D51" s="1">
        <v>4</v>
      </c>
      <c r="E51" s="1" t="b">
        <v>0</v>
      </c>
      <c r="F51" s="1">
        <v>1</v>
      </c>
      <c r="G51" s="1">
        <v>1</v>
      </c>
      <c r="H51" s="1">
        <v>0.16</v>
      </c>
      <c r="I51" s="1" t="str">
        <f>IF(Table1[[#This Row],[weekday]]&gt;=6,"weekend","weekday")</f>
        <v>weekday</v>
      </c>
      <c r="J51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51" s="1" t="str">
        <f>IF(Table1[[#This Row],[hr]]&lt;12,"Morning",IF(Table1[[#This Row],[hr]]&lt;17,"Afternoon",IF(Table1[[#This Row],[hr]]&lt;21,"Evening","Night")))</f>
        <v>Morning</v>
      </c>
    </row>
    <row r="52" spans="1:11" x14ac:dyDescent="0.2">
      <c r="A52" s="1">
        <v>51</v>
      </c>
      <c r="B52" s="3">
        <v>40546</v>
      </c>
      <c r="C52" s="1">
        <v>1</v>
      </c>
      <c r="D52" s="1">
        <v>5</v>
      </c>
      <c r="E52" s="1" t="b">
        <v>0</v>
      </c>
      <c r="F52" s="1">
        <v>1</v>
      </c>
      <c r="G52" s="1">
        <v>1</v>
      </c>
      <c r="H52" s="1">
        <v>0.16</v>
      </c>
      <c r="I52" s="1" t="str">
        <f>IF(Table1[[#This Row],[weekday]]&gt;=6,"weekend","weekday")</f>
        <v>weekday</v>
      </c>
      <c r="J52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52" s="1" t="str">
        <f>IF(Table1[[#This Row],[hr]]&lt;12,"Morning",IF(Table1[[#This Row],[hr]]&lt;17,"Afternoon",IF(Table1[[#This Row],[hr]]&lt;21,"Evening","Night")))</f>
        <v>Morning</v>
      </c>
    </row>
    <row r="53" spans="1:11" x14ac:dyDescent="0.2">
      <c r="A53" s="1">
        <v>52</v>
      </c>
      <c r="B53" s="3">
        <v>40546</v>
      </c>
      <c r="C53" s="1">
        <v>1</v>
      </c>
      <c r="D53" s="1">
        <v>6</v>
      </c>
      <c r="E53" s="1" t="b">
        <v>0</v>
      </c>
      <c r="F53" s="1">
        <v>1</v>
      </c>
      <c r="G53" s="1">
        <v>1</v>
      </c>
      <c r="H53" s="1">
        <v>0.14000000000000001</v>
      </c>
      <c r="I53" s="1" t="str">
        <f>IF(Table1[[#This Row],[weekday]]&gt;=6,"weekend","weekday")</f>
        <v>weekday</v>
      </c>
      <c r="J53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53" s="1" t="str">
        <f>IF(Table1[[#This Row],[hr]]&lt;12,"Morning",IF(Table1[[#This Row],[hr]]&lt;17,"Afternoon",IF(Table1[[#This Row],[hr]]&lt;21,"Evening","Night")))</f>
        <v>Morning</v>
      </c>
    </row>
    <row r="54" spans="1:11" x14ac:dyDescent="0.2">
      <c r="A54" s="1">
        <v>53</v>
      </c>
      <c r="B54" s="3">
        <v>40546</v>
      </c>
      <c r="C54" s="1">
        <v>1</v>
      </c>
      <c r="D54" s="1">
        <v>7</v>
      </c>
      <c r="E54" s="1" t="b">
        <v>0</v>
      </c>
      <c r="F54" s="1">
        <v>1</v>
      </c>
      <c r="G54" s="1">
        <v>1</v>
      </c>
      <c r="H54" s="1">
        <v>0.14000000000000001</v>
      </c>
      <c r="I54" s="1" t="str">
        <f>IF(Table1[[#This Row],[weekday]]&gt;=6,"weekend","weekday")</f>
        <v>weekday</v>
      </c>
      <c r="J54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54" s="1" t="str">
        <f>IF(Table1[[#This Row],[hr]]&lt;12,"Morning",IF(Table1[[#This Row],[hr]]&lt;17,"Afternoon",IF(Table1[[#This Row],[hr]]&lt;21,"Evening","Night")))</f>
        <v>Morning</v>
      </c>
    </row>
    <row r="55" spans="1:11" x14ac:dyDescent="0.2">
      <c r="A55" s="1">
        <v>54</v>
      </c>
      <c r="B55" s="3">
        <v>40546</v>
      </c>
      <c r="C55" s="1">
        <v>1</v>
      </c>
      <c r="D55" s="1">
        <v>8</v>
      </c>
      <c r="E55" s="1" t="b">
        <v>0</v>
      </c>
      <c r="F55" s="1">
        <v>1</v>
      </c>
      <c r="G55" s="1">
        <v>1</v>
      </c>
      <c r="H55" s="1">
        <v>0.14000000000000001</v>
      </c>
      <c r="I55" s="1" t="str">
        <f>IF(Table1[[#This Row],[weekday]]&gt;=6,"weekend","weekday")</f>
        <v>weekday</v>
      </c>
      <c r="J55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55" s="1" t="str">
        <f>IF(Table1[[#This Row],[hr]]&lt;12,"Morning",IF(Table1[[#This Row],[hr]]&lt;17,"Afternoon",IF(Table1[[#This Row],[hr]]&lt;21,"Evening","Night")))</f>
        <v>Morning</v>
      </c>
    </row>
    <row r="56" spans="1:11" x14ac:dyDescent="0.2">
      <c r="A56" s="1">
        <v>55</v>
      </c>
      <c r="B56" s="3">
        <v>40546</v>
      </c>
      <c r="C56" s="1">
        <v>1</v>
      </c>
      <c r="D56" s="1">
        <v>9</v>
      </c>
      <c r="E56" s="1" t="b">
        <v>0</v>
      </c>
      <c r="F56" s="1">
        <v>1</v>
      </c>
      <c r="G56" s="1">
        <v>1</v>
      </c>
      <c r="H56" s="1">
        <v>0.16</v>
      </c>
      <c r="I56" s="1" t="str">
        <f>IF(Table1[[#This Row],[weekday]]&gt;=6,"weekend","weekday")</f>
        <v>weekday</v>
      </c>
      <c r="J56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56" s="1" t="str">
        <f>IF(Table1[[#This Row],[hr]]&lt;12,"Morning",IF(Table1[[#This Row],[hr]]&lt;17,"Afternoon",IF(Table1[[#This Row],[hr]]&lt;21,"Evening","Night")))</f>
        <v>Morning</v>
      </c>
    </row>
    <row r="57" spans="1:11" x14ac:dyDescent="0.2">
      <c r="A57" s="1">
        <v>56</v>
      </c>
      <c r="B57" s="3">
        <v>40546</v>
      </c>
      <c r="C57" s="1">
        <v>1</v>
      </c>
      <c r="D57" s="1">
        <v>10</v>
      </c>
      <c r="E57" s="1" t="b">
        <v>0</v>
      </c>
      <c r="F57" s="1">
        <v>1</v>
      </c>
      <c r="G57" s="1">
        <v>1</v>
      </c>
      <c r="H57" s="1">
        <v>0.18</v>
      </c>
      <c r="I57" s="1" t="str">
        <f>IF(Table1[[#This Row],[weekday]]&gt;=6,"weekend","weekday")</f>
        <v>weekday</v>
      </c>
      <c r="J57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57" s="1" t="str">
        <f>IF(Table1[[#This Row],[hr]]&lt;12,"Morning",IF(Table1[[#This Row],[hr]]&lt;17,"Afternoon",IF(Table1[[#This Row],[hr]]&lt;21,"Evening","Night")))</f>
        <v>Morning</v>
      </c>
    </row>
    <row r="58" spans="1:11" x14ac:dyDescent="0.2">
      <c r="A58" s="1">
        <v>57</v>
      </c>
      <c r="B58" s="3">
        <v>40546</v>
      </c>
      <c r="C58" s="1">
        <v>1</v>
      </c>
      <c r="D58" s="1">
        <v>11</v>
      </c>
      <c r="E58" s="1" t="b">
        <v>0</v>
      </c>
      <c r="F58" s="1">
        <v>1</v>
      </c>
      <c r="G58" s="1">
        <v>1</v>
      </c>
      <c r="H58" s="1">
        <v>0.2</v>
      </c>
      <c r="I58" s="1" t="str">
        <f>IF(Table1[[#This Row],[weekday]]&gt;=6,"weekend","weekday")</f>
        <v>weekday</v>
      </c>
      <c r="J58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58" s="1" t="str">
        <f>IF(Table1[[#This Row],[hr]]&lt;12,"Morning",IF(Table1[[#This Row],[hr]]&lt;17,"Afternoon",IF(Table1[[#This Row],[hr]]&lt;21,"Evening","Night")))</f>
        <v>Morning</v>
      </c>
    </row>
    <row r="59" spans="1:11" x14ac:dyDescent="0.2">
      <c r="A59" s="1">
        <v>58</v>
      </c>
      <c r="B59" s="3">
        <v>40546</v>
      </c>
      <c r="C59" s="1">
        <v>1</v>
      </c>
      <c r="D59" s="1">
        <v>12</v>
      </c>
      <c r="E59" s="1" t="b">
        <v>0</v>
      </c>
      <c r="F59" s="1">
        <v>1</v>
      </c>
      <c r="G59" s="1">
        <v>1</v>
      </c>
      <c r="H59" s="1">
        <v>0.22</v>
      </c>
      <c r="I59" s="1" t="str">
        <f>IF(Table1[[#This Row],[weekday]]&gt;=6,"weekend","weekday")</f>
        <v>weekday</v>
      </c>
      <c r="J59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59" s="1" t="str">
        <f>IF(Table1[[#This Row],[hr]]&lt;12,"Morning",IF(Table1[[#This Row],[hr]]&lt;17,"Afternoon",IF(Table1[[#This Row],[hr]]&lt;21,"Evening","Night")))</f>
        <v>Afternoon</v>
      </c>
    </row>
    <row r="60" spans="1:11" x14ac:dyDescent="0.2">
      <c r="A60" s="1">
        <v>59</v>
      </c>
      <c r="B60" s="3">
        <v>40546</v>
      </c>
      <c r="C60" s="1">
        <v>1</v>
      </c>
      <c r="D60" s="1">
        <v>13</v>
      </c>
      <c r="E60" s="1" t="b">
        <v>0</v>
      </c>
      <c r="F60" s="1">
        <v>1</v>
      </c>
      <c r="G60" s="1">
        <v>1</v>
      </c>
      <c r="H60" s="1">
        <v>0.24</v>
      </c>
      <c r="I60" s="1" t="str">
        <f>IF(Table1[[#This Row],[weekday]]&gt;=6,"weekend","weekday")</f>
        <v>weekday</v>
      </c>
      <c r="J60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60" s="1" t="str">
        <f>IF(Table1[[#This Row],[hr]]&lt;12,"Morning",IF(Table1[[#This Row],[hr]]&lt;17,"Afternoon",IF(Table1[[#This Row],[hr]]&lt;21,"Evening","Night")))</f>
        <v>Afternoon</v>
      </c>
    </row>
    <row r="61" spans="1:11" x14ac:dyDescent="0.2">
      <c r="A61" s="1">
        <v>60</v>
      </c>
      <c r="B61" s="3">
        <v>40546</v>
      </c>
      <c r="C61" s="1">
        <v>1</v>
      </c>
      <c r="D61" s="1">
        <v>14</v>
      </c>
      <c r="E61" s="1" t="b">
        <v>0</v>
      </c>
      <c r="F61" s="1">
        <v>1</v>
      </c>
      <c r="G61" s="1">
        <v>1</v>
      </c>
      <c r="H61" s="1">
        <v>0.26</v>
      </c>
      <c r="I61" s="1" t="str">
        <f>IF(Table1[[#This Row],[weekday]]&gt;=6,"weekend","weekday")</f>
        <v>weekday</v>
      </c>
      <c r="J61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61" s="1" t="str">
        <f>IF(Table1[[#This Row],[hr]]&lt;12,"Morning",IF(Table1[[#This Row],[hr]]&lt;17,"Afternoon",IF(Table1[[#This Row],[hr]]&lt;21,"Evening","Night")))</f>
        <v>Afternoon</v>
      </c>
    </row>
    <row r="62" spans="1:11" x14ac:dyDescent="0.2">
      <c r="A62" s="1">
        <v>61</v>
      </c>
      <c r="B62" s="3">
        <v>40546</v>
      </c>
      <c r="C62" s="1">
        <v>1</v>
      </c>
      <c r="D62" s="1">
        <v>15</v>
      </c>
      <c r="E62" s="1" t="b">
        <v>0</v>
      </c>
      <c r="F62" s="1">
        <v>1</v>
      </c>
      <c r="G62" s="1">
        <v>1</v>
      </c>
      <c r="H62" s="1">
        <v>0.26</v>
      </c>
      <c r="I62" s="1" t="str">
        <f>IF(Table1[[#This Row],[weekday]]&gt;=6,"weekend","weekday")</f>
        <v>weekday</v>
      </c>
      <c r="J62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62" s="1" t="str">
        <f>IF(Table1[[#This Row],[hr]]&lt;12,"Morning",IF(Table1[[#This Row],[hr]]&lt;17,"Afternoon",IF(Table1[[#This Row],[hr]]&lt;21,"Evening","Night")))</f>
        <v>Afternoon</v>
      </c>
    </row>
    <row r="63" spans="1:11" x14ac:dyDescent="0.2">
      <c r="A63" s="1">
        <v>62</v>
      </c>
      <c r="B63" s="3">
        <v>40546</v>
      </c>
      <c r="C63" s="1">
        <v>1</v>
      </c>
      <c r="D63" s="1">
        <v>16</v>
      </c>
      <c r="E63" s="1" t="b">
        <v>0</v>
      </c>
      <c r="F63" s="1">
        <v>1</v>
      </c>
      <c r="G63" s="1">
        <v>1</v>
      </c>
      <c r="H63" s="1">
        <v>0.26</v>
      </c>
      <c r="I63" s="1" t="str">
        <f>IF(Table1[[#This Row],[weekday]]&gt;=6,"weekend","weekday")</f>
        <v>weekday</v>
      </c>
      <c r="J63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63" s="1" t="str">
        <f>IF(Table1[[#This Row],[hr]]&lt;12,"Morning",IF(Table1[[#This Row],[hr]]&lt;17,"Afternoon",IF(Table1[[#This Row],[hr]]&lt;21,"Evening","Night")))</f>
        <v>Afternoon</v>
      </c>
    </row>
    <row r="64" spans="1:11" x14ac:dyDescent="0.2">
      <c r="A64" s="1">
        <v>63</v>
      </c>
      <c r="B64" s="3">
        <v>40546</v>
      </c>
      <c r="C64" s="1">
        <v>1</v>
      </c>
      <c r="D64" s="1">
        <v>17</v>
      </c>
      <c r="E64" s="1" t="b">
        <v>0</v>
      </c>
      <c r="F64" s="1">
        <v>1</v>
      </c>
      <c r="G64" s="1">
        <v>1</v>
      </c>
      <c r="H64" s="1">
        <v>0.24</v>
      </c>
      <c r="I64" s="1" t="str">
        <f>IF(Table1[[#This Row],[weekday]]&gt;=6,"weekend","weekday")</f>
        <v>weekday</v>
      </c>
      <c r="J64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64" s="1" t="str">
        <f>IF(Table1[[#This Row],[hr]]&lt;12,"Morning",IF(Table1[[#This Row],[hr]]&lt;17,"Afternoon",IF(Table1[[#This Row],[hr]]&lt;21,"Evening","Night")))</f>
        <v>Evening</v>
      </c>
    </row>
    <row r="65" spans="1:11" x14ac:dyDescent="0.2">
      <c r="A65" s="1">
        <v>64</v>
      </c>
      <c r="B65" s="3">
        <v>40546</v>
      </c>
      <c r="C65" s="1">
        <v>1</v>
      </c>
      <c r="D65" s="1">
        <v>18</v>
      </c>
      <c r="E65" s="1" t="b">
        <v>0</v>
      </c>
      <c r="F65" s="1">
        <v>1</v>
      </c>
      <c r="G65" s="1">
        <v>1</v>
      </c>
      <c r="H65" s="1">
        <v>0.24</v>
      </c>
      <c r="I65" s="1" t="str">
        <f>IF(Table1[[#This Row],[weekday]]&gt;=6,"weekend","weekday")</f>
        <v>weekday</v>
      </c>
      <c r="J65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65" s="1" t="str">
        <f>IF(Table1[[#This Row],[hr]]&lt;12,"Morning",IF(Table1[[#This Row],[hr]]&lt;17,"Afternoon",IF(Table1[[#This Row],[hr]]&lt;21,"Evening","Night")))</f>
        <v>Evening</v>
      </c>
    </row>
    <row r="66" spans="1:11" x14ac:dyDescent="0.2">
      <c r="A66" s="1">
        <v>65</v>
      </c>
      <c r="B66" s="3">
        <v>40546</v>
      </c>
      <c r="C66" s="1">
        <v>1</v>
      </c>
      <c r="D66" s="1">
        <v>19</v>
      </c>
      <c r="E66" s="1" t="b">
        <v>0</v>
      </c>
      <c r="F66" s="1">
        <v>1</v>
      </c>
      <c r="G66" s="1">
        <v>1</v>
      </c>
      <c r="H66" s="1">
        <v>0.2</v>
      </c>
      <c r="I66" s="1" t="str">
        <f>IF(Table1[[#This Row],[weekday]]&gt;=6,"weekend","weekday")</f>
        <v>weekday</v>
      </c>
      <c r="J66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66" s="1" t="str">
        <f>IF(Table1[[#This Row],[hr]]&lt;12,"Morning",IF(Table1[[#This Row],[hr]]&lt;17,"Afternoon",IF(Table1[[#This Row],[hr]]&lt;21,"Evening","Night")))</f>
        <v>Evening</v>
      </c>
    </row>
    <row r="67" spans="1:11" x14ac:dyDescent="0.2">
      <c r="A67" s="1">
        <v>66</v>
      </c>
      <c r="B67" s="3">
        <v>40546</v>
      </c>
      <c r="C67" s="1">
        <v>1</v>
      </c>
      <c r="D67" s="1">
        <v>20</v>
      </c>
      <c r="E67" s="1" t="b">
        <v>0</v>
      </c>
      <c r="F67" s="1">
        <v>1</v>
      </c>
      <c r="G67" s="1">
        <v>1</v>
      </c>
      <c r="H67" s="1">
        <v>0.2</v>
      </c>
      <c r="I67" s="1" t="str">
        <f>IF(Table1[[#This Row],[weekday]]&gt;=6,"weekend","weekday")</f>
        <v>weekday</v>
      </c>
      <c r="J67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67" s="1" t="str">
        <f>IF(Table1[[#This Row],[hr]]&lt;12,"Morning",IF(Table1[[#This Row],[hr]]&lt;17,"Afternoon",IF(Table1[[#This Row],[hr]]&lt;21,"Evening","Night")))</f>
        <v>Evening</v>
      </c>
    </row>
    <row r="68" spans="1:11" x14ac:dyDescent="0.2">
      <c r="A68" s="1">
        <v>67</v>
      </c>
      <c r="B68" s="3">
        <v>40546</v>
      </c>
      <c r="C68" s="1">
        <v>1</v>
      </c>
      <c r="D68" s="1">
        <v>21</v>
      </c>
      <c r="E68" s="1" t="b">
        <v>0</v>
      </c>
      <c r="F68" s="1">
        <v>1</v>
      </c>
      <c r="G68" s="1">
        <v>1</v>
      </c>
      <c r="H68" s="1">
        <v>0.18</v>
      </c>
      <c r="I68" s="1" t="str">
        <f>IF(Table1[[#This Row],[weekday]]&gt;=6,"weekend","weekday")</f>
        <v>weekday</v>
      </c>
      <c r="J68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68" s="1" t="str">
        <f>IF(Table1[[#This Row],[hr]]&lt;12,"Morning",IF(Table1[[#This Row],[hr]]&lt;17,"Afternoon",IF(Table1[[#This Row],[hr]]&lt;21,"Evening","Night")))</f>
        <v>Night</v>
      </c>
    </row>
    <row r="69" spans="1:11" x14ac:dyDescent="0.2">
      <c r="A69" s="1">
        <v>68</v>
      </c>
      <c r="B69" s="3">
        <v>40546</v>
      </c>
      <c r="C69" s="1">
        <v>1</v>
      </c>
      <c r="D69" s="1">
        <v>22</v>
      </c>
      <c r="E69" s="1" t="b">
        <v>0</v>
      </c>
      <c r="F69" s="1">
        <v>1</v>
      </c>
      <c r="G69" s="1">
        <v>1</v>
      </c>
      <c r="H69" s="1">
        <v>0.14000000000000001</v>
      </c>
      <c r="I69" s="1" t="str">
        <f>IF(Table1[[#This Row],[weekday]]&gt;=6,"weekend","weekday")</f>
        <v>weekday</v>
      </c>
      <c r="J69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69" s="1" t="str">
        <f>IF(Table1[[#This Row],[hr]]&lt;12,"Morning",IF(Table1[[#This Row],[hr]]&lt;17,"Afternoon",IF(Table1[[#This Row],[hr]]&lt;21,"Evening","Night")))</f>
        <v>Night</v>
      </c>
    </row>
    <row r="70" spans="1:11" x14ac:dyDescent="0.2">
      <c r="A70" s="1">
        <v>69</v>
      </c>
      <c r="B70" s="3">
        <v>40546</v>
      </c>
      <c r="C70" s="1">
        <v>1</v>
      </c>
      <c r="D70" s="1">
        <v>23</v>
      </c>
      <c r="E70" s="1" t="b">
        <v>0</v>
      </c>
      <c r="F70" s="1">
        <v>1</v>
      </c>
      <c r="G70" s="1">
        <v>1</v>
      </c>
      <c r="H70" s="1">
        <v>0.18</v>
      </c>
      <c r="I70" s="1" t="str">
        <f>IF(Table1[[#This Row],[weekday]]&gt;=6,"weekend","weekday")</f>
        <v>weekday</v>
      </c>
      <c r="J70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70" s="1" t="str">
        <f>IF(Table1[[#This Row],[hr]]&lt;12,"Morning",IF(Table1[[#This Row],[hr]]&lt;17,"Afternoon",IF(Table1[[#This Row],[hr]]&lt;21,"Evening","Night")))</f>
        <v>Night</v>
      </c>
    </row>
    <row r="71" spans="1:11" x14ac:dyDescent="0.2">
      <c r="A71" s="1">
        <v>70</v>
      </c>
      <c r="B71" s="3">
        <v>40547</v>
      </c>
      <c r="C71" s="1">
        <v>1</v>
      </c>
      <c r="D71" s="1">
        <v>0</v>
      </c>
      <c r="E71" s="1" t="b">
        <v>0</v>
      </c>
      <c r="F71" s="1">
        <v>2</v>
      </c>
      <c r="G71" s="1">
        <v>1</v>
      </c>
      <c r="H71" s="1">
        <v>0.16</v>
      </c>
      <c r="I71" s="1" t="str">
        <f>IF(Table1[[#This Row],[weekday]]&gt;=6,"weekend","weekday")</f>
        <v>weekday</v>
      </c>
      <c r="J71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71" s="1" t="str">
        <f>IF(Table1[[#This Row],[hr]]&lt;12,"Morning",IF(Table1[[#This Row],[hr]]&lt;17,"Afternoon",IF(Table1[[#This Row],[hr]]&lt;21,"Evening","Night")))</f>
        <v>Morning</v>
      </c>
    </row>
    <row r="72" spans="1:11" x14ac:dyDescent="0.2">
      <c r="A72" s="1">
        <v>71</v>
      </c>
      <c r="B72" s="3">
        <v>40547</v>
      </c>
      <c r="C72" s="1">
        <v>1</v>
      </c>
      <c r="D72" s="1">
        <v>1</v>
      </c>
      <c r="E72" s="1" t="b">
        <v>0</v>
      </c>
      <c r="F72" s="1">
        <v>2</v>
      </c>
      <c r="G72" s="1">
        <v>1</v>
      </c>
      <c r="H72" s="1">
        <v>0.16</v>
      </c>
      <c r="I72" s="1" t="str">
        <f>IF(Table1[[#This Row],[weekday]]&gt;=6,"weekend","weekday")</f>
        <v>weekday</v>
      </c>
      <c r="J72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72" s="1" t="str">
        <f>IF(Table1[[#This Row],[hr]]&lt;12,"Morning",IF(Table1[[#This Row],[hr]]&lt;17,"Afternoon",IF(Table1[[#This Row],[hr]]&lt;21,"Evening","Night")))</f>
        <v>Morning</v>
      </c>
    </row>
    <row r="73" spans="1:11" x14ac:dyDescent="0.2">
      <c r="A73" s="1">
        <v>72</v>
      </c>
      <c r="B73" s="3">
        <v>40547</v>
      </c>
      <c r="C73" s="1">
        <v>1</v>
      </c>
      <c r="D73" s="1">
        <v>2</v>
      </c>
      <c r="E73" s="1" t="b">
        <v>0</v>
      </c>
      <c r="F73" s="1">
        <v>2</v>
      </c>
      <c r="G73" s="1">
        <v>1</v>
      </c>
      <c r="H73" s="1">
        <v>0.14000000000000001</v>
      </c>
      <c r="I73" s="1" t="str">
        <f>IF(Table1[[#This Row],[weekday]]&gt;=6,"weekend","weekday")</f>
        <v>weekday</v>
      </c>
      <c r="J73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73" s="1" t="str">
        <f>IF(Table1[[#This Row],[hr]]&lt;12,"Morning",IF(Table1[[#This Row],[hr]]&lt;17,"Afternoon",IF(Table1[[#This Row],[hr]]&lt;21,"Evening","Night")))</f>
        <v>Morning</v>
      </c>
    </row>
    <row r="74" spans="1:11" x14ac:dyDescent="0.2">
      <c r="A74" s="1">
        <v>73</v>
      </c>
      <c r="B74" s="3">
        <v>40547</v>
      </c>
      <c r="C74" s="1">
        <v>1</v>
      </c>
      <c r="D74" s="1">
        <v>4</v>
      </c>
      <c r="E74" s="1" t="b">
        <v>0</v>
      </c>
      <c r="F74" s="1">
        <v>2</v>
      </c>
      <c r="G74" s="1">
        <v>1</v>
      </c>
      <c r="H74" s="1">
        <v>0.14000000000000001</v>
      </c>
      <c r="I74" s="1" t="str">
        <f>IF(Table1[[#This Row],[weekday]]&gt;=6,"weekend","weekday")</f>
        <v>weekday</v>
      </c>
      <c r="J74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74" s="1" t="str">
        <f>IF(Table1[[#This Row],[hr]]&lt;12,"Morning",IF(Table1[[#This Row],[hr]]&lt;17,"Afternoon",IF(Table1[[#This Row],[hr]]&lt;21,"Evening","Night")))</f>
        <v>Morning</v>
      </c>
    </row>
    <row r="75" spans="1:11" x14ac:dyDescent="0.2">
      <c r="A75" s="1">
        <v>74</v>
      </c>
      <c r="B75" s="3">
        <v>40547</v>
      </c>
      <c r="C75" s="1">
        <v>1</v>
      </c>
      <c r="D75" s="1">
        <v>5</v>
      </c>
      <c r="E75" s="1" t="b">
        <v>0</v>
      </c>
      <c r="F75" s="1">
        <v>2</v>
      </c>
      <c r="G75" s="1">
        <v>1</v>
      </c>
      <c r="H75" s="1">
        <v>0.12</v>
      </c>
      <c r="I75" s="1" t="str">
        <f>IF(Table1[[#This Row],[weekday]]&gt;=6,"weekend","weekday")</f>
        <v>weekday</v>
      </c>
      <c r="J75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75" s="1" t="str">
        <f>IF(Table1[[#This Row],[hr]]&lt;12,"Morning",IF(Table1[[#This Row],[hr]]&lt;17,"Afternoon",IF(Table1[[#This Row],[hr]]&lt;21,"Evening","Night")))</f>
        <v>Morning</v>
      </c>
    </row>
    <row r="76" spans="1:11" x14ac:dyDescent="0.2">
      <c r="A76" s="1">
        <v>75</v>
      </c>
      <c r="B76" s="3">
        <v>40547</v>
      </c>
      <c r="C76" s="1">
        <v>1</v>
      </c>
      <c r="D76" s="1">
        <v>6</v>
      </c>
      <c r="E76" s="1" t="b">
        <v>0</v>
      </c>
      <c r="F76" s="1">
        <v>2</v>
      </c>
      <c r="G76" s="1">
        <v>1</v>
      </c>
      <c r="H76" s="1">
        <v>0.12</v>
      </c>
      <c r="I76" s="1" t="str">
        <f>IF(Table1[[#This Row],[weekday]]&gt;=6,"weekend","weekday")</f>
        <v>weekday</v>
      </c>
      <c r="J76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76" s="1" t="str">
        <f>IF(Table1[[#This Row],[hr]]&lt;12,"Morning",IF(Table1[[#This Row],[hr]]&lt;17,"Afternoon",IF(Table1[[#This Row],[hr]]&lt;21,"Evening","Night")))</f>
        <v>Morning</v>
      </c>
    </row>
    <row r="77" spans="1:11" x14ac:dyDescent="0.2">
      <c r="A77" s="1">
        <v>76</v>
      </c>
      <c r="B77" s="3">
        <v>40547</v>
      </c>
      <c r="C77" s="1">
        <v>1</v>
      </c>
      <c r="D77" s="1">
        <v>7</v>
      </c>
      <c r="E77" s="1" t="b">
        <v>0</v>
      </c>
      <c r="F77" s="1">
        <v>2</v>
      </c>
      <c r="G77" s="1">
        <v>1</v>
      </c>
      <c r="H77" s="1">
        <v>0.12</v>
      </c>
      <c r="I77" s="1" t="str">
        <f>IF(Table1[[#This Row],[weekday]]&gt;=6,"weekend","weekday")</f>
        <v>weekday</v>
      </c>
      <c r="J77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77" s="1" t="str">
        <f>IF(Table1[[#This Row],[hr]]&lt;12,"Morning",IF(Table1[[#This Row],[hr]]&lt;17,"Afternoon",IF(Table1[[#This Row],[hr]]&lt;21,"Evening","Night")))</f>
        <v>Morning</v>
      </c>
    </row>
    <row r="78" spans="1:11" x14ac:dyDescent="0.2">
      <c r="A78" s="1">
        <v>77</v>
      </c>
      <c r="B78" s="3">
        <v>40547</v>
      </c>
      <c r="C78" s="1">
        <v>1</v>
      </c>
      <c r="D78" s="1">
        <v>8</v>
      </c>
      <c r="E78" s="1" t="b">
        <v>0</v>
      </c>
      <c r="F78" s="1">
        <v>2</v>
      </c>
      <c r="G78" s="1">
        <v>1</v>
      </c>
      <c r="H78" s="1">
        <v>0.14000000000000001</v>
      </c>
      <c r="I78" s="1" t="str">
        <f>IF(Table1[[#This Row],[weekday]]&gt;=6,"weekend","weekday")</f>
        <v>weekday</v>
      </c>
      <c r="J78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78" s="1" t="str">
        <f>IF(Table1[[#This Row],[hr]]&lt;12,"Morning",IF(Table1[[#This Row],[hr]]&lt;17,"Afternoon",IF(Table1[[#This Row],[hr]]&lt;21,"Evening","Night")))</f>
        <v>Morning</v>
      </c>
    </row>
    <row r="79" spans="1:11" x14ac:dyDescent="0.2">
      <c r="A79" s="1">
        <v>78</v>
      </c>
      <c r="B79" s="3">
        <v>40547</v>
      </c>
      <c r="C79" s="1">
        <v>1</v>
      </c>
      <c r="D79" s="1">
        <v>9</v>
      </c>
      <c r="E79" s="1" t="b">
        <v>0</v>
      </c>
      <c r="F79" s="1">
        <v>2</v>
      </c>
      <c r="G79" s="1">
        <v>1</v>
      </c>
      <c r="H79" s="1">
        <v>0.16</v>
      </c>
      <c r="I79" s="1" t="str">
        <f>IF(Table1[[#This Row],[weekday]]&gt;=6,"weekend","weekday")</f>
        <v>weekday</v>
      </c>
      <c r="J79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79" s="1" t="str">
        <f>IF(Table1[[#This Row],[hr]]&lt;12,"Morning",IF(Table1[[#This Row],[hr]]&lt;17,"Afternoon",IF(Table1[[#This Row],[hr]]&lt;21,"Evening","Night")))</f>
        <v>Morning</v>
      </c>
    </row>
    <row r="80" spans="1:11" x14ac:dyDescent="0.2">
      <c r="A80" s="1">
        <v>79</v>
      </c>
      <c r="B80" s="3">
        <v>40547</v>
      </c>
      <c r="C80" s="1">
        <v>1</v>
      </c>
      <c r="D80" s="1">
        <v>10</v>
      </c>
      <c r="E80" s="1" t="b">
        <v>0</v>
      </c>
      <c r="F80" s="1">
        <v>2</v>
      </c>
      <c r="G80" s="1">
        <v>2</v>
      </c>
      <c r="H80" s="1">
        <v>0.16</v>
      </c>
      <c r="I80" s="1" t="str">
        <f>IF(Table1[[#This Row],[weekday]]&gt;=6,"weekend","weekday")</f>
        <v>weekday</v>
      </c>
      <c r="J80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80" s="1" t="str">
        <f>IF(Table1[[#This Row],[hr]]&lt;12,"Morning",IF(Table1[[#This Row],[hr]]&lt;17,"Afternoon",IF(Table1[[#This Row],[hr]]&lt;21,"Evening","Night")))</f>
        <v>Morning</v>
      </c>
    </row>
    <row r="81" spans="1:11" x14ac:dyDescent="0.2">
      <c r="A81" s="1">
        <v>80</v>
      </c>
      <c r="B81" s="3">
        <v>40547</v>
      </c>
      <c r="C81" s="1">
        <v>1</v>
      </c>
      <c r="D81" s="1">
        <v>11</v>
      </c>
      <c r="E81" s="1" t="b">
        <v>0</v>
      </c>
      <c r="F81" s="1">
        <v>2</v>
      </c>
      <c r="G81" s="1">
        <v>1</v>
      </c>
      <c r="H81" s="1">
        <v>0.22</v>
      </c>
      <c r="I81" s="1" t="str">
        <f>IF(Table1[[#This Row],[weekday]]&gt;=6,"weekend","weekday")</f>
        <v>weekday</v>
      </c>
      <c r="J81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81" s="1" t="str">
        <f>IF(Table1[[#This Row],[hr]]&lt;12,"Morning",IF(Table1[[#This Row],[hr]]&lt;17,"Afternoon",IF(Table1[[#This Row],[hr]]&lt;21,"Evening","Night")))</f>
        <v>Morning</v>
      </c>
    </row>
    <row r="82" spans="1:11" x14ac:dyDescent="0.2">
      <c r="A82" s="1">
        <v>81</v>
      </c>
      <c r="B82" s="3">
        <v>40547</v>
      </c>
      <c r="C82" s="1">
        <v>1</v>
      </c>
      <c r="D82" s="1">
        <v>12</v>
      </c>
      <c r="E82" s="1" t="b">
        <v>0</v>
      </c>
      <c r="F82" s="1">
        <v>2</v>
      </c>
      <c r="G82" s="1">
        <v>1</v>
      </c>
      <c r="H82" s="1">
        <v>0.22</v>
      </c>
      <c r="I82" s="1" t="str">
        <f>IF(Table1[[#This Row],[weekday]]&gt;=6,"weekend","weekday")</f>
        <v>weekday</v>
      </c>
      <c r="J82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82" s="1" t="str">
        <f>IF(Table1[[#This Row],[hr]]&lt;12,"Morning",IF(Table1[[#This Row],[hr]]&lt;17,"Afternoon",IF(Table1[[#This Row],[hr]]&lt;21,"Evening","Night")))</f>
        <v>Afternoon</v>
      </c>
    </row>
    <row r="83" spans="1:11" x14ac:dyDescent="0.2">
      <c r="A83" s="1">
        <v>82</v>
      </c>
      <c r="B83" s="3">
        <v>40547</v>
      </c>
      <c r="C83" s="1">
        <v>1</v>
      </c>
      <c r="D83" s="1">
        <v>13</v>
      </c>
      <c r="E83" s="1" t="b">
        <v>0</v>
      </c>
      <c r="F83" s="1">
        <v>2</v>
      </c>
      <c r="G83" s="1">
        <v>1</v>
      </c>
      <c r="H83" s="1">
        <v>0.24</v>
      </c>
      <c r="I83" s="1" t="str">
        <f>IF(Table1[[#This Row],[weekday]]&gt;=6,"weekend","weekday")</f>
        <v>weekday</v>
      </c>
      <c r="J83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83" s="1" t="str">
        <f>IF(Table1[[#This Row],[hr]]&lt;12,"Morning",IF(Table1[[#This Row],[hr]]&lt;17,"Afternoon",IF(Table1[[#This Row],[hr]]&lt;21,"Evening","Night")))</f>
        <v>Afternoon</v>
      </c>
    </row>
    <row r="84" spans="1:11" x14ac:dyDescent="0.2">
      <c r="A84" s="1">
        <v>83</v>
      </c>
      <c r="B84" s="3">
        <v>40547</v>
      </c>
      <c r="C84" s="1">
        <v>1</v>
      </c>
      <c r="D84" s="1">
        <v>14</v>
      </c>
      <c r="E84" s="1" t="b">
        <v>0</v>
      </c>
      <c r="F84" s="1">
        <v>2</v>
      </c>
      <c r="G84" s="1">
        <v>1</v>
      </c>
      <c r="H84" s="1">
        <v>0.26</v>
      </c>
      <c r="I84" s="1" t="str">
        <f>IF(Table1[[#This Row],[weekday]]&gt;=6,"weekend","weekday")</f>
        <v>weekday</v>
      </c>
      <c r="J84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84" s="1" t="str">
        <f>IF(Table1[[#This Row],[hr]]&lt;12,"Morning",IF(Table1[[#This Row],[hr]]&lt;17,"Afternoon",IF(Table1[[#This Row],[hr]]&lt;21,"Evening","Night")))</f>
        <v>Afternoon</v>
      </c>
    </row>
    <row r="85" spans="1:11" x14ac:dyDescent="0.2">
      <c r="A85" s="1">
        <v>84</v>
      </c>
      <c r="B85" s="3">
        <v>40547</v>
      </c>
      <c r="C85" s="1">
        <v>1</v>
      </c>
      <c r="D85" s="1">
        <v>15</v>
      </c>
      <c r="E85" s="1" t="b">
        <v>0</v>
      </c>
      <c r="F85" s="1">
        <v>2</v>
      </c>
      <c r="G85" s="1">
        <v>1</v>
      </c>
      <c r="H85" s="1">
        <v>0.28000000000000003</v>
      </c>
      <c r="I85" s="1" t="str">
        <f>IF(Table1[[#This Row],[weekday]]&gt;=6,"weekend","weekday")</f>
        <v>weekday</v>
      </c>
      <c r="J85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85" s="1" t="str">
        <f>IF(Table1[[#This Row],[hr]]&lt;12,"Morning",IF(Table1[[#This Row],[hr]]&lt;17,"Afternoon",IF(Table1[[#This Row],[hr]]&lt;21,"Evening","Night")))</f>
        <v>Afternoon</v>
      </c>
    </row>
    <row r="86" spans="1:11" x14ac:dyDescent="0.2">
      <c r="A86" s="1">
        <v>85</v>
      </c>
      <c r="B86" s="3">
        <v>40547</v>
      </c>
      <c r="C86" s="1">
        <v>1</v>
      </c>
      <c r="D86" s="1">
        <v>16</v>
      </c>
      <c r="E86" s="1" t="b">
        <v>0</v>
      </c>
      <c r="F86" s="1">
        <v>2</v>
      </c>
      <c r="G86" s="1">
        <v>1</v>
      </c>
      <c r="H86" s="1">
        <v>0.3</v>
      </c>
      <c r="I86" s="1" t="str">
        <f>IF(Table1[[#This Row],[weekday]]&gt;=6,"weekend","weekday")</f>
        <v>weekday</v>
      </c>
      <c r="J86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86" s="1" t="str">
        <f>IF(Table1[[#This Row],[hr]]&lt;12,"Morning",IF(Table1[[#This Row],[hr]]&lt;17,"Afternoon",IF(Table1[[#This Row],[hr]]&lt;21,"Evening","Night")))</f>
        <v>Afternoon</v>
      </c>
    </row>
    <row r="87" spans="1:11" x14ac:dyDescent="0.2">
      <c r="A87" s="1">
        <v>86</v>
      </c>
      <c r="B87" s="3">
        <v>40547</v>
      </c>
      <c r="C87" s="1">
        <v>1</v>
      </c>
      <c r="D87" s="1">
        <v>17</v>
      </c>
      <c r="E87" s="1" t="b">
        <v>0</v>
      </c>
      <c r="F87" s="1">
        <v>2</v>
      </c>
      <c r="G87" s="1">
        <v>1</v>
      </c>
      <c r="H87" s="1">
        <v>0.28000000000000003</v>
      </c>
      <c r="I87" s="1" t="str">
        <f>IF(Table1[[#This Row],[weekday]]&gt;=6,"weekend","weekday")</f>
        <v>weekday</v>
      </c>
      <c r="J87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87" s="1" t="str">
        <f>IF(Table1[[#This Row],[hr]]&lt;12,"Morning",IF(Table1[[#This Row],[hr]]&lt;17,"Afternoon",IF(Table1[[#This Row],[hr]]&lt;21,"Evening","Night")))</f>
        <v>Evening</v>
      </c>
    </row>
    <row r="88" spans="1:11" x14ac:dyDescent="0.2">
      <c r="A88" s="1">
        <v>87</v>
      </c>
      <c r="B88" s="3">
        <v>40547</v>
      </c>
      <c r="C88" s="1">
        <v>1</v>
      </c>
      <c r="D88" s="1">
        <v>18</v>
      </c>
      <c r="E88" s="1" t="b">
        <v>0</v>
      </c>
      <c r="F88" s="1">
        <v>2</v>
      </c>
      <c r="G88" s="1">
        <v>1</v>
      </c>
      <c r="H88" s="1">
        <v>0.26</v>
      </c>
      <c r="I88" s="1" t="str">
        <f>IF(Table1[[#This Row],[weekday]]&gt;=6,"weekend","weekday")</f>
        <v>weekday</v>
      </c>
      <c r="J88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88" s="1" t="str">
        <f>IF(Table1[[#This Row],[hr]]&lt;12,"Morning",IF(Table1[[#This Row],[hr]]&lt;17,"Afternoon",IF(Table1[[#This Row],[hr]]&lt;21,"Evening","Night")))</f>
        <v>Evening</v>
      </c>
    </row>
    <row r="89" spans="1:11" x14ac:dyDescent="0.2">
      <c r="A89" s="1">
        <v>88</v>
      </c>
      <c r="B89" s="3">
        <v>40547</v>
      </c>
      <c r="C89" s="1">
        <v>1</v>
      </c>
      <c r="D89" s="1">
        <v>19</v>
      </c>
      <c r="E89" s="1" t="b">
        <v>0</v>
      </c>
      <c r="F89" s="1">
        <v>2</v>
      </c>
      <c r="G89" s="1">
        <v>1</v>
      </c>
      <c r="H89" s="1">
        <v>0.24</v>
      </c>
      <c r="I89" s="1" t="str">
        <f>IF(Table1[[#This Row],[weekday]]&gt;=6,"weekend","weekday")</f>
        <v>weekday</v>
      </c>
      <c r="J89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89" s="1" t="str">
        <f>IF(Table1[[#This Row],[hr]]&lt;12,"Morning",IF(Table1[[#This Row],[hr]]&lt;17,"Afternoon",IF(Table1[[#This Row],[hr]]&lt;21,"Evening","Night")))</f>
        <v>Evening</v>
      </c>
    </row>
    <row r="90" spans="1:11" x14ac:dyDescent="0.2">
      <c r="A90" s="1">
        <v>89</v>
      </c>
      <c r="B90" s="3">
        <v>40547</v>
      </c>
      <c r="C90" s="1">
        <v>1</v>
      </c>
      <c r="D90" s="1">
        <v>20</v>
      </c>
      <c r="E90" s="1" t="b">
        <v>0</v>
      </c>
      <c r="F90" s="1">
        <v>2</v>
      </c>
      <c r="G90" s="1">
        <v>1</v>
      </c>
      <c r="H90" s="1">
        <v>0.24</v>
      </c>
      <c r="I90" s="1" t="str">
        <f>IF(Table1[[#This Row],[weekday]]&gt;=6,"weekend","weekday")</f>
        <v>weekday</v>
      </c>
      <c r="J90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90" s="1" t="str">
        <f>IF(Table1[[#This Row],[hr]]&lt;12,"Morning",IF(Table1[[#This Row],[hr]]&lt;17,"Afternoon",IF(Table1[[#This Row],[hr]]&lt;21,"Evening","Night")))</f>
        <v>Evening</v>
      </c>
    </row>
    <row r="91" spans="1:11" x14ac:dyDescent="0.2">
      <c r="A91" s="1">
        <v>90</v>
      </c>
      <c r="B91" s="3">
        <v>40547</v>
      </c>
      <c r="C91" s="1">
        <v>1</v>
      </c>
      <c r="D91" s="1">
        <v>21</v>
      </c>
      <c r="E91" s="1" t="b">
        <v>0</v>
      </c>
      <c r="F91" s="1">
        <v>2</v>
      </c>
      <c r="G91" s="1">
        <v>1</v>
      </c>
      <c r="H91" s="1">
        <v>0.22</v>
      </c>
      <c r="I91" s="1" t="str">
        <f>IF(Table1[[#This Row],[weekday]]&gt;=6,"weekend","weekday")</f>
        <v>weekday</v>
      </c>
      <c r="J91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91" s="1" t="str">
        <f>IF(Table1[[#This Row],[hr]]&lt;12,"Morning",IF(Table1[[#This Row],[hr]]&lt;17,"Afternoon",IF(Table1[[#This Row],[hr]]&lt;21,"Evening","Night")))</f>
        <v>Night</v>
      </c>
    </row>
    <row r="92" spans="1:11" x14ac:dyDescent="0.2">
      <c r="A92" s="1">
        <v>91</v>
      </c>
      <c r="B92" s="3">
        <v>40547</v>
      </c>
      <c r="C92" s="1">
        <v>1</v>
      </c>
      <c r="D92" s="1">
        <v>22</v>
      </c>
      <c r="E92" s="1" t="b">
        <v>0</v>
      </c>
      <c r="F92" s="1">
        <v>2</v>
      </c>
      <c r="G92" s="1">
        <v>1</v>
      </c>
      <c r="H92" s="1">
        <v>0.22</v>
      </c>
      <c r="I92" s="1" t="str">
        <f>IF(Table1[[#This Row],[weekday]]&gt;=6,"weekend","weekday")</f>
        <v>weekday</v>
      </c>
      <c r="J92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92" s="1" t="str">
        <f>IF(Table1[[#This Row],[hr]]&lt;12,"Morning",IF(Table1[[#This Row],[hr]]&lt;17,"Afternoon",IF(Table1[[#This Row],[hr]]&lt;21,"Evening","Night")))</f>
        <v>Night</v>
      </c>
    </row>
    <row r="93" spans="1:11" x14ac:dyDescent="0.2">
      <c r="A93" s="1">
        <v>92</v>
      </c>
      <c r="B93" s="3">
        <v>40547</v>
      </c>
      <c r="C93" s="1">
        <v>1</v>
      </c>
      <c r="D93" s="1">
        <v>23</v>
      </c>
      <c r="E93" s="1" t="b">
        <v>0</v>
      </c>
      <c r="F93" s="1">
        <v>2</v>
      </c>
      <c r="G93" s="1">
        <v>1</v>
      </c>
      <c r="H93" s="1">
        <v>0.2</v>
      </c>
      <c r="I93" s="1" t="str">
        <f>IF(Table1[[#This Row],[weekday]]&gt;=6,"weekend","weekday")</f>
        <v>weekday</v>
      </c>
      <c r="J93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93" s="1" t="str">
        <f>IF(Table1[[#This Row],[hr]]&lt;12,"Morning",IF(Table1[[#This Row],[hr]]&lt;17,"Afternoon",IF(Table1[[#This Row],[hr]]&lt;21,"Evening","Night")))</f>
        <v>Night</v>
      </c>
    </row>
    <row r="94" spans="1:11" x14ac:dyDescent="0.2">
      <c r="A94" s="1">
        <v>93</v>
      </c>
      <c r="B94" s="3">
        <v>40548</v>
      </c>
      <c r="C94" s="1">
        <v>1</v>
      </c>
      <c r="D94" s="1">
        <v>0</v>
      </c>
      <c r="E94" s="1" t="b">
        <v>0</v>
      </c>
      <c r="F94" s="1">
        <v>3</v>
      </c>
      <c r="G94" s="1">
        <v>1</v>
      </c>
      <c r="H94" s="1">
        <v>0.2</v>
      </c>
      <c r="I94" s="1" t="str">
        <f>IF(Table1[[#This Row],[weekday]]&gt;=6,"weekend","weekday")</f>
        <v>weekday</v>
      </c>
      <c r="J94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94" s="1" t="str">
        <f>IF(Table1[[#This Row],[hr]]&lt;12,"Morning",IF(Table1[[#This Row],[hr]]&lt;17,"Afternoon",IF(Table1[[#This Row],[hr]]&lt;21,"Evening","Night")))</f>
        <v>Morning</v>
      </c>
    </row>
    <row r="95" spans="1:11" x14ac:dyDescent="0.2">
      <c r="A95" s="1">
        <v>94</v>
      </c>
      <c r="B95" s="3">
        <v>40548</v>
      </c>
      <c r="C95" s="1">
        <v>1</v>
      </c>
      <c r="D95" s="1">
        <v>1</v>
      </c>
      <c r="E95" s="1" t="b">
        <v>0</v>
      </c>
      <c r="F95" s="1">
        <v>3</v>
      </c>
      <c r="G95" s="1">
        <v>1</v>
      </c>
      <c r="H95" s="1">
        <v>0.16</v>
      </c>
      <c r="I95" s="1" t="str">
        <f>IF(Table1[[#This Row],[weekday]]&gt;=6,"weekend","weekday")</f>
        <v>weekday</v>
      </c>
      <c r="J95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95" s="1" t="str">
        <f>IF(Table1[[#This Row],[hr]]&lt;12,"Morning",IF(Table1[[#This Row],[hr]]&lt;17,"Afternoon",IF(Table1[[#This Row],[hr]]&lt;21,"Evening","Night")))</f>
        <v>Morning</v>
      </c>
    </row>
    <row r="96" spans="1:11" x14ac:dyDescent="0.2">
      <c r="A96" s="1">
        <v>95</v>
      </c>
      <c r="B96" s="3">
        <v>40548</v>
      </c>
      <c r="C96" s="1">
        <v>1</v>
      </c>
      <c r="D96" s="1">
        <v>2</v>
      </c>
      <c r="E96" s="1" t="b">
        <v>0</v>
      </c>
      <c r="F96" s="1">
        <v>3</v>
      </c>
      <c r="G96" s="1">
        <v>1</v>
      </c>
      <c r="H96" s="1">
        <v>0.16</v>
      </c>
      <c r="I96" s="1" t="str">
        <f>IF(Table1[[#This Row],[weekday]]&gt;=6,"weekend","weekday")</f>
        <v>weekday</v>
      </c>
      <c r="J96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96" s="1" t="str">
        <f>IF(Table1[[#This Row],[hr]]&lt;12,"Morning",IF(Table1[[#This Row],[hr]]&lt;17,"Afternoon",IF(Table1[[#This Row],[hr]]&lt;21,"Evening","Night")))</f>
        <v>Morning</v>
      </c>
    </row>
    <row r="97" spans="1:11" x14ac:dyDescent="0.2">
      <c r="A97" s="1">
        <v>96</v>
      </c>
      <c r="B97" s="3">
        <v>40548</v>
      </c>
      <c r="C97" s="1">
        <v>1</v>
      </c>
      <c r="D97" s="1">
        <v>4</v>
      </c>
      <c r="E97" s="1" t="b">
        <v>0</v>
      </c>
      <c r="F97" s="1">
        <v>3</v>
      </c>
      <c r="G97" s="1">
        <v>1</v>
      </c>
      <c r="H97" s="1">
        <v>0.24</v>
      </c>
      <c r="I97" s="1" t="str">
        <f>IF(Table1[[#This Row],[weekday]]&gt;=6,"weekend","weekday")</f>
        <v>weekday</v>
      </c>
      <c r="J97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97" s="1" t="str">
        <f>IF(Table1[[#This Row],[hr]]&lt;12,"Morning",IF(Table1[[#This Row],[hr]]&lt;17,"Afternoon",IF(Table1[[#This Row],[hr]]&lt;21,"Evening","Night")))</f>
        <v>Morning</v>
      </c>
    </row>
    <row r="98" spans="1:11" x14ac:dyDescent="0.2">
      <c r="A98" s="1">
        <v>97</v>
      </c>
      <c r="B98" s="3">
        <v>40548</v>
      </c>
      <c r="C98" s="1">
        <v>1</v>
      </c>
      <c r="D98" s="1">
        <v>5</v>
      </c>
      <c r="E98" s="1" t="b">
        <v>0</v>
      </c>
      <c r="F98" s="1">
        <v>3</v>
      </c>
      <c r="G98" s="1">
        <v>1</v>
      </c>
      <c r="H98" s="1">
        <v>0.22</v>
      </c>
      <c r="I98" s="1" t="str">
        <f>IF(Table1[[#This Row],[weekday]]&gt;=6,"weekend","weekday")</f>
        <v>weekday</v>
      </c>
      <c r="J98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98" s="1" t="str">
        <f>IF(Table1[[#This Row],[hr]]&lt;12,"Morning",IF(Table1[[#This Row],[hr]]&lt;17,"Afternoon",IF(Table1[[#This Row],[hr]]&lt;21,"Evening","Night")))</f>
        <v>Morning</v>
      </c>
    </row>
    <row r="99" spans="1:11" x14ac:dyDescent="0.2">
      <c r="A99" s="1">
        <v>98</v>
      </c>
      <c r="B99" s="3">
        <v>40548</v>
      </c>
      <c r="C99" s="1">
        <v>1</v>
      </c>
      <c r="D99" s="1">
        <v>6</v>
      </c>
      <c r="E99" s="1" t="b">
        <v>0</v>
      </c>
      <c r="F99" s="1">
        <v>3</v>
      </c>
      <c r="G99" s="1">
        <v>1</v>
      </c>
      <c r="H99" s="1">
        <v>0.2</v>
      </c>
      <c r="I99" s="1" t="str">
        <f>IF(Table1[[#This Row],[weekday]]&gt;=6,"weekend","weekday")</f>
        <v>weekday</v>
      </c>
      <c r="J99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99" s="1" t="str">
        <f>IF(Table1[[#This Row],[hr]]&lt;12,"Morning",IF(Table1[[#This Row],[hr]]&lt;17,"Afternoon",IF(Table1[[#This Row],[hr]]&lt;21,"Evening","Night")))</f>
        <v>Morning</v>
      </c>
    </row>
    <row r="100" spans="1:11" x14ac:dyDescent="0.2">
      <c r="A100" s="1">
        <v>99</v>
      </c>
      <c r="B100" s="3">
        <v>40548</v>
      </c>
      <c r="C100" s="1">
        <v>1</v>
      </c>
      <c r="D100" s="1">
        <v>7</v>
      </c>
      <c r="E100" s="1" t="b">
        <v>0</v>
      </c>
      <c r="F100" s="1">
        <v>3</v>
      </c>
      <c r="G100" s="1">
        <v>1</v>
      </c>
      <c r="H100" s="1">
        <v>0.18</v>
      </c>
      <c r="I100" s="1" t="str">
        <f>IF(Table1[[#This Row],[weekday]]&gt;=6,"weekend","weekday")</f>
        <v>weekday</v>
      </c>
      <c r="J100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100" s="1" t="str">
        <f>IF(Table1[[#This Row],[hr]]&lt;12,"Morning",IF(Table1[[#This Row],[hr]]&lt;17,"Afternoon",IF(Table1[[#This Row],[hr]]&lt;21,"Evening","Night")))</f>
        <v>Morning</v>
      </c>
    </row>
    <row r="101" spans="1:11" x14ac:dyDescent="0.2">
      <c r="A101" s="1">
        <v>100</v>
      </c>
      <c r="B101" s="3">
        <v>40548</v>
      </c>
      <c r="C101" s="1">
        <v>1</v>
      </c>
      <c r="D101" s="1">
        <v>8</v>
      </c>
      <c r="E101" s="1" t="b">
        <v>0</v>
      </c>
      <c r="F101" s="1">
        <v>3</v>
      </c>
      <c r="G101" s="1">
        <v>1</v>
      </c>
      <c r="H101" s="1">
        <v>0.2</v>
      </c>
      <c r="I101" s="1" t="str">
        <f>IF(Table1[[#This Row],[weekday]]&gt;=6,"weekend","weekday")</f>
        <v>weekday</v>
      </c>
      <c r="J101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101" s="1" t="str">
        <f>IF(Table1[[#This Row],[hr]]&lt;12,"Morning",IF(Table1[[#This Row],[hr]]&lt;17,"Afternoon",IF(Table1[[#This Row],[hr]]&lt;21,"Evening","Night")))</f>
        <v>Morning</v>
      </c>
    </row>
    <row r="102" spans="1:11" x14ac:dyDescent="0.2">
      <c r="A102" s="1">
        <v>101</v>
      </c>
      <c r="B102" s="3">
        <v>40548</v>
      </c>
      <c r="C102" s="1">
        <v>1</v>
      </c>
      <c r="D102" s="1">
        <v>9</v>
      </c>
      <c r="E102" s="1" t="b">
        <v>0</v>
      </c>
      <c r="F102" s="1">
        <v>3</v>
      </c>
      <c r="G102" s="1">
        <v>1</v>
      </c>
      <c r="H102" s="1">
        <v>0.22</v>
      </c>
      <c r="I102" s="1" t="str">
        <f>IF(Table1[[#This Row],[weekday]]&gt;=6,"weekend","weekday")</f>
        <v>weekday</v>
      </c>
      <c r="J102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102" s="1" t="str">
        <f>IF(Table1[[#This Row],[hr]]&lt;12,"Morning",IF(Table1[[#This Row],[hr]]&lt;17,"Afternoon",IF(Table1[[#This Row],[hr]]&lt;21,"Evening","Night")))</f>
        <v>Morning</v>
      </c>
    </row>
    <row r="103" spans="1:11" x14ac:dyDescent="0.2">
      <c r="A103" s="1">
        <v>102</v>
      </c>
      <c r="B103" s="3">
        <v>40548</v>
      </c>
      <c r="C103" s="1">
        <v>1</v>
      </c>
      <c r="D103" s="1">
        <v>10</v>
      </c>
      <c r="E103" s="1" t="b">
        <v>0</v>
      </c>
      <c r="F103" s="1">
        <v>3</v>
      </c>
      <c r="G103" s="1">
        <v>1</v>
      </c>
      <c r="H103" s="1">
        <v>0.22</v>
      </c>
      <c r="I103" s="1" t="str">
        <f>IF(Table1[[#This Row],[weekday]]&gt;=6,"weekend","weekday")</f>
        <v>weekday</v>
      </c>
      <c r="J103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103" s="1" t="str">
        <f>IF(Table1[[#This Row],[hr]]&lt;12,"Morning",IF(Table1[[#This Row],[hr]]&lt;17,"Afternoon",IF(Table1[[#This Row],[hr]]&lt;21,"Evening","Night")))</f>
        <v>Morning</v>
      </c>
    </row>
    <row r="104" spans="1:11" x14ac:dyDescent="0.2">
      <c r="A104" s="1">
        <v>103</v>
      </c>
      <c r="B104" s="3">
        <v>40548</v>
      </c>
      <c r="C104" s="1">
        <v>1</v>
      </c>
      <c r="D104" s="1">
        <v>11</v>
      </c>
      <c r="E104" s="1" t="b">
        <v>0</v>
      </c>
      <c r="F104" s="1">
        <v>3</v>
      </c>
      <c r="G104" s="1">
        <v>1</v>
      </c>
      <c r="H104" s="1">
        <v>0.26</v>
      </c>
      <c r="I104" s="1" t="str">
        <f>IF(Table1[[#This Row],[weekday]]&gt;=6,"weekend","weekday")</f>
        <v>weekday</v>
      </c>
      <c r="J104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104" s="1" t="str">
        <f>IF(Table1[[#This Row],[hr]]&lt;12,"Morning",IF(Table1[[#This Row],[hr]]&lt;17,"Afternoon",IF(Table1[[#This Row],[hr]]&lt;21,"Evening","Night")))</f>
        <v>Morning</v>
      </c>
    </row>
    <row r="105" spans="1:11" x14ac:dyDescent="0.2">
      <c r="A105" s="1">
        <v>104</v>
      </c>
      <c r="B105" s="3">
        <v>40548</v>
      </c>
      <c r="C105" s="1">
        <v>1</v>
      </c>
      <c r="D105" s="1">
        <v>12</v>
      </c>
      <c r="E105" s="1" t="b">
        <v>0</v>
      </c>
      <c r="F105" s="1">
        <v>3</v>
      </c>
      <c r="G105" s="1">
        <v>1</v>
      </c>
      <c r="H105" s="1">
        <v>0.26</v>
      </c>
      <c r="I105" s="1" t="str">
        <f>IF(Table1[[#This Row],[weekday]]&gt;=6,"weekend","weekday")</f>
        <v>weekday</v>
      </c>
      <c r="J105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105" s="1" t="str">
        <f>IF(Table1[[#This Row],[hr]]&lt;12,"Morning",IF(Table1[[#This Row],[hr]]&lt;17,"Afternoon",IF(Table1[[#This Row],[hr]]&lt;21,"Evening","Night")))</f>
        <v>Afternoon</v>
      </c>
    </row>
    <row r="106" spans="1:11" x14ac:dyDescent="0.2">
      <c r="A106" s="1">
        <v>105</v>
      </c>
      <c r="B106" s="3">
        <v>40548</v>
      </c>
      <c r="C106" s="1">
        <v>1</v>
      </c>
      <c r="D106" s="1">
        <v>13</v>
      </c>
      <c r="E106" s="1" t="b">
        <v>0</v>
      </c>
      <c r="F106" s="1">
        <v>3</v>
      </c>
      <c r="G106" s="1">
        <v>1</v>
      </c>
      <c r="H106" s="1">
        <v>0.28000000000000003</v>
      </c>
      <c r="I106" s="1" t="str">
        <f>IF(Table1[[#This Row],[weekday]]&gt;=6,"weekend","weekday")</f>
        <v>weekday</v>
      </c>
      <c r="J106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106" s="1" t="str">
        <f>IF(Table1[[#This Row],[hr]]&lt;12,"Morning",IF(Table1[[#This Row],[hr]]&lt;17,"Afternoon",IF(Table1[[#This Row],[hr]]&lt;21,"Evening","Night")))</f>
        <v>Afternoon</v>
      </c>
    </row>
    <row r="107" spans="1:11" x14ac:dyDescent="0.2">
      <c r="A107" s="1">
        <v>106</v>
      </c>
      <c r="B107" s="3">
        <v>40548</v>
      </c>
      <c r="C107" s="1">
        <v>1</v>
      </c>
      <c r="D107" s="1">
        <v>14</v>
      </c>
      <c r="E107" s="1" t="b">
        <v>0</v>
      </c>
      <c r="F107" s="1">
        <v>3</v>
      </c>
      <c r="G107" s="1">
        <v>1</v>
      </c>
      <c r="H107" s="1">
        <v>0.3</v>
      </c>
      <c r="I107" s="1" t="str">
        <f>IF(Table1[[#This Row],[weekday]]&gt;=6,"weekend","weekday")</f>
        <v>weekday</v>
      </c>
      <c r="J107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107" s="1" t="str">
        <f>IF(Table1[[#This Row],[hr]]&lt;12,"Morning",IF(Table1[[#This Row],[hr]]&lt;17,"Afternoon",IF(Table1[[#This Row],[hr]]&lt;21,"Evening","Night")))</f>
        <v>Afternoon</v>
      </c>
    </row>
    <row r="108" spans="1:11" x14ac:dyDescent="0.2">
      <c r="A108" s="1">
        <v>107</v>
      </c>
      <c r="B108" s="3">
        <v>40548</v>
      </c>
      <c r="C108" s="1">
        <v>1</v>
      </c>
      <c r="D108" s="1">
        <v>15</v>
      </c>
      <c r="E108" s="1" t="b">
        <v>0</v>
      </c>
      <c r="F108" s="1">
        <v>3</v>
      </c>
      <c r="G108" s="1">
        <v>1</v>
      </c>
      <c r="H108" s="1">
        <v>0.3</v>
      </c>
      <c r="I108" s="1" t="str">
        <f>IF(Table1[[#This Row],[weekday]]&gt;=6,"weekend","weekday")</f>
        <v>weekday</v>
      </c>
      <c r="J108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108" s="1" t="str">
        <f>IF(Table1[[#This Row],[hr]]&lt;12,"Morning",IF(Table1[[#This Row],[hr]]&lt;17,"Afternoon",IF(Table1[[#This Row],[hr]]&lt;21,"Evening","Night")))</f>
        <v>Afternoon</v>
      </c>
    </row>
    <row r="109" spans="1:11" x14ac:dyDescent="0.2">
      <c r="A109" s="1">
        <v>108</v>
      </c>
      <c r="B109" s="3">
        <v>40548</v>
      </c>
      <c r="C109" s="1">
        <v>1</v>
      </c>
      <c r="D109" s="1">
        <v>16</v>
      </c>
      <c r="E109" s="1" t="b">
        <v>0</v>
      </c>
      <c r="F109" s="1">
        <v>3</v>
      </c>
      <c r="G109" s="1">
        <v>1</v>
      </c>
      <c r="H109" s="1">
        <v>0.3</v>
      </c>
      <c r="I109" s="1" t="str">
        <f>IF(Table1[[#This Row],[weekday]]&gt;=6,"weekend","weekday")</f>
        <v>weekday</v>
      </c>
      <c r="J109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109" s="1" t="str">
        <f>IF(Table1[[#This Row],[hr]]&lt;12,"Morning",IF(Table1[[#This Row],[hr]]&lt;17,"Afternoon",IF(Table1[[#This Row],[hr]]&lt;21,"Evening","Night")))</f>
        <v>Afternoon</v>
      </c>
    </row>
    <row r="110" spans="1:11" x14ac:dyDescent="0.2">
      <c r="A110" s="1">
        <v>109</v>
      </c>
      <c r="B110" s="3">
        <v>40548</v>
      </c>
      <c r="C110" s="1">
        <v>1</v>
      </c>
      <c r="D110" s="1">
        <v>17</v>
      </c>
      <c r="E110" s="1" t="b">
        <v>0</v>
      </c>
      <c r="F110" s="1">
        <v>3</v>
      </c>
      <c r="G110" s="1">
        <v>1</v>
      </c>
      <c r="H110" s="1">
        <v>0.24</v>
      </c>
      <c r="I110" s="1" t="str">
        <f>IF(Table1[[#This Row],[weekday]]&gt;=6,"weekend","weekday")</f>
        <v>weekday</v>
      </c>
      <c r="J110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110" s="1" t="str">
        <f>IF(Table1[[#This Row],[hr]]&lt;12,"Morning",IF(Table1[[#This Row],[hr]]&lt;17,"Afternoon",IF(Table1[[#This Row],[hr]]&lt;21,"Evening","Night")))</f>
        <v>Evening</v>
      </c>
    </row>
    <row r="111" spans="1:11" x14ac:dyDescent="0.2">
      <c r="A111" s="1">
        <v>110</v>
      </c>
      <c r="B111" s="3">
        <v>40548</v>
      </c>
      <c r="C111" s="1">
        <v>1</v>
      </c>
      <c r="D111" s="1">
        <v>18</v>
      </c>
      <c r="E111" s="1" t="b">
        <v>0</v>
      </c>
      <c r="F111" s="1">
        <v>3</v>
      </c>
      <c r="G111" s="1">
        <v>1</v>
      </c>
      <c r="H111" s="1">
        <v>0.24</v>
      </c>
      <c r="I111" s="1" t="str">
        <f>IF(Table1[[#This Row],[weekday]]&gt;=6,"weekend","weekday")</f>
        <v>weekday</v>
      </c>
      <c r="J111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111" s="1" t="str">
        <f>IF(Table1[[#This Row],[hr]]&lt;12,"Morning",IF(Table1[[#This Row],[hr]]&lt;17,"Afternoon",IF(Table1[[#This Row],[hr]]&lt;21,"Evening","Night")))</f>
        <v>Evening</v>
      </c>
    </row>
    <row r="112" spans="1:11" x14ac:dyDescent="0.2">
      <c r="A112" s="1">
        <v>111</v>
      </c>
      <c r="B112" s="3">
        <v>40548</v>
      </c>
      <c r="C112" s="1">
        <v>1</v>
      </c>
      <c r="D112" s="1">
        <v>19</v>
      </c>
      <c r="E112" s="1" t="b">
        <v>0</v>
      </c>
      <c r="F112" s="1">
        <v>3</v>
      </c>
      <c r="G112" s="1">
        <v>1</v>
      </c>
      <c r="H112" s="1">
        <v>0.24</v>
      </c>
      <c r="I112" s="1" t="str">
        <f>IF(Table1[[#This Row],[weekday]]&gt;=6,"weekend","weekday")</f>
        <v>weekday</v>
      </c>
      <c r="J112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112" s="1" t="str">
        <f>IF(Table1[[#This Row],[hr]]&lt;12,"Morning",IF(Table1[[#This Row],[hr]]&lt;17,"Afternoon",IF(Table1[[#This Row],[hr]]&lt;21,"Evening","Night")))</f>
        <v>Evening</v>
      </c>
    </row>
    <row r="113" spans="1:11" x14ac:dyDescent="0.2">
      <c r="A113" s="1">
        <v>112</v>
      </c>
      <c r="B113" s="3">
        <v>40548</v>
      </c>
      <c r="C113" s="1">
        <v>1</v>
      </c>
      <c r="D113" s="1">
        <v>20</v>
      </c>
      <c r="E113" s="1" t="b">
        <v>0</v>
      </c>
      <c r="F113" s="1">
        <v>3</v>
      </c>
      <c r="G113" s="1">
        <v>1</v>
      </c>
      <c r="H113" s="1">
        <v>0.22</v>
      </c>
      <c r="I113" s="1" t="str">
        <f>IF(Table1[[#This Row],[weekday]]&gt;=6,"weekend","weekday")</f>
        <v>weekday</v>
      </c>
      <c r="J113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113" s="1" t="str">
        <f>IF(Table1[[#This Row],[hr]]&lt;12,"Morning",IF(Table1[[#This Row],[hr]]&lt;17,"Afternoon",IF(Table1[[#This Row],[hr]]&lt;21,"Evening","Night")))</f>
        <v>Evening</v>
      </c>
    </row>
    <row r="114" spans="1:11" x14ac:dyDescent="0.2">
      <c r="A114" s="1">
        <v>113</v>
      </c>
      <c r="B114" s="3">
        <v>40548</v>
      </c>
      <c r="C114" s="1">
        <v>1</v>
      </c>
      <c r="D114" s="1">
        <v>21</v>
      </c>
      <c r="E114" s="1" t="b">
        <v>0</v>
      </c>
      <c r="F114" s="1">
        <v>3</v>
      </c>
      <c r="G114" s="1">
        <v>1</v>
      </c>
      <c r="H114" s="1">
        <v>0.2</v>
      </c>
      <c r="I114" s="1" t="str">
        <f>IF(Table1[[#This Row],[weekday]]&gt;=6,"weekend","weekday")</f>
        <v>weekday</v>
      </c>
      <c r="J114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114" s="1" t="str">
        <f>IF(Table1[[#This Row],[hr]]&lt;12,"Morning",IF(Table1[[#This Row],[hr]]&lt;17,"Afternoon",IF(Table1[[#This Row],[hr]]&lt;21,"Evening","Night")))</f>
        <v>Night</v>
      </c>
    </row>
    <row r="115" spans="1:11" x14ac:dyDescent="0.2">
      <c r="A115" s="1">
        <v>114</v>
      </c>
      <c r="B115" s="3">
        <v>40548</v>
      </c>
      <c r="C115" s="1">
        <v>1</v>
      </c>
      <c r="D115" s="1">
        <v>22</v>
      </c>
      <c r="E115" s="1" t="b">
        <v>0</v>
      </c>
      <c r="F115" s="1">
        <v>3</v>
      </c>
      <c r="G115" s="1">
        <v>1</v>
      </c>
      <c r="H115" s="1">
        <v>0.18</v>
      </c>
      <c r="I115" s="1" t="str">
        <f>IF(Table1[[#This Row],[weekday]]&gt;=6,"weekend","weekday")</f>
        <v>weekday</v>
      </c>
      <c r="J115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115" s="1" t="str">
        <f>IF(Table1[[#This Row],[hr]]&lt;12,"Morning",IF(Table1[[#This Row],[hr]]&lt;17,"Afternoon",IF(Table1[[#This Row],[hr]]&lt;21,"Evening","Night")))</f>
        <v>Night</v>
      </c>
    </row>
    <row r="116" spans="1:11" x14ac:dyDescent="0.2">
      <c r="A116" s="1">
        <v>115</v>
      </c>
      <c r="B116" s="3">
        <v>40548</v>
      </c>
      <c r="C116" s="1">
        <v>1</v>
      </c>
      <c r="D116" s="1">
        <v>23</v>
      </c>
      <c r="E116" s="1" t="b">
        <v>0</v>
      </c>
      <c r="F116" s="1">
        <v>3</v>
      </c>
      <c r="G116" s="1">
        <v>1</v>
      </c>
      <c r="H116" s="1">
        <v>0.2</v>
      </c>
      <c r="I116" s="1" t="str">
        <f>IF(Table1[[#This Row],[weekday]]&gt;=6,"weekend","weekday")</f>
        <v>weekday</v>
      </c>
      <c r="J116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116" s="1" t="str">
        <f>IF(Table1[[#This Row],[hr]]&lt;12,"Morning",IF(Table1[[#This Row],[hr]]&lt;17,"Afternoon",IF(Table1[[#This Row],[hr]]&lt;21,"Evening","Night")))</f>
        <v>Night</v>
      </c>
    </row>
    <row r="117" spans="1:11" x14ac:dyDescent="0.2">
      <c r="A117" s="1">
        <v>116</v>
      </c>
      <c r="B117" s="3">
        <v>40549</v>
      </c>
      <c r="C117" s="1">
        <v>1</v>
      </c>
      <c r="D117" s="1">
        <v>0</v>
      </c>
      <c r="E117" s="1" t="b">
        <v>0</v>
      </c>
      <c r="F117" s="1">
        <v>4</v>
      </c>
      <c r="G117" s="1">
        <v>1</v>
      </c>
      <c r="H117" s="1">
        <v>0.18</v>
      </c>
      <c r="I117" s="1" t="str">
        <f>IF(Table1[[#This Row],[weekday]]&gt;=6,"weekend","weekday")</f>
        <v>weekday</v>
      </c>
      <c r="J117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117" s="1" t="str">
        <f>IF(Table1[[#This Row],[hr]]&lt;12,"Morning",IF(Table1[[#This Row],[hr]]&lt;17,"Afternoon",IF(Table1[[#This Row],[hr]]&lt;21,"Evening","Night")))</f>
        <v>Morning</v>
      </c>
    </row>
    <row r="118" spans="1:11" x14ac:dyDescent="0.2">
      <c r="A118" s="1">
        <v>117</v>
      </c>
      <c r="B118" s="3">
        <v>40549</v>
      </c>
      <c r="C118" s="1">
        <v>1</v>
      </c>
      <c r="D118" s="1">
        <v>1</v>
      </c>
      <c r="E118" s="1" t="b">
        <v>0</v>
      </c>
      <c r="F118" s="1">
        <v>4</v>
      </c>
      <c r="G118" s="1">
        <v>1</v>
      </c>
      <c r="H118" s="1">
        <v>0.16</v>
      </c>
      <c r="I118" s="1" t="str">
        <f>IF(Table1[[#This Row],[weekday]]&gt;=6,"weekend","weekday")</f>
        <v>weekday</v>
      </c>
      <c r="J118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118" s="1" t="str">
        <f>IF(Table1[[#This Row],[hr]]&lt;12,"Morning",IF(Table1[[#This Row],[hr]]&lt;17,"Afternoon",IF(Table1[[#This Row],[hr]]&lt;21,"Evening","Night")))</f>
        <v>Morning</v>
      </c>
    </row>
    <row r="119" spans="1:11" x14ac:dyDescent="0.2">
      <c r="A119" s="1">
        <v>118</v>
      </c>
      <c r="B119" s="3">
        <v>40549</v>
      </c>
      <c r="C119" s="1">
        <v>1</v>
      </c>
      <c r="D119" s="1">
        <v>2</v>
      </c>
      <c r="E119" s="1" t="b">
        <v>0</v>
      </c>
      <c r="F119" s="1">
        <v>4</v>
      </c>
      <c r="G119" s="1">
        <v>1</v>
      </c>
      <c r="H119" s="1">
        <v>0.16</v>
      </c>
      <c r="I119" s="1" t="str">
        <f>IF(Table1[[#This Row],[weekday]]&gt;=6,"weekend","weekday")</f>
        <v>weekday</v>
      </c>
      <c r="J119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119" s="1" t="str">
        <f>IF(Table1[[#This Row],[hr]]&lt;12,"Morning",IF(Table1[[#This Row],[hr]]&lt;17,"Afternoon",IF(Table1[[#This Row],[hr]]&lt;21,"Evening","Night")))</f>
        <v>Morning</v>
      </c>
    </row>
    <row r="120" spans="1:11" x14ac:dyDescent="0.2">
      <c r="A120" s="1">
        <v>119</v>
      </c>
      <c r="B120" s="3">
        <v>40549</v>
      </c>
      <c r="C120" s="1">
        <v>1</v>
      </c>
      <c r="D120" s="1">
        <v>4</v>
      </c>
      <c r="E120" s="1" t="b">
        <v>0</v>
      </c>
      <c r="F120" s="1">
        <v>4</v>
      </c>
      <c r="G120" s="1">
        <v>2</v>
      </c>
      <c r="H120" s="1">
        <v>0.16</v>
      </c>
      <c r="I120" s="1" t="str">
        <f>IF(Table1[[#This Row],[weekday]]&gt;=6,"weekend","weekday")</f>
        <v>weekday</v>
      </c>
      <c r="J120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120" s="1" t="str">
        <f>IF(Table1[[#This Row],[hr]]&lt;12,"Morning",IF(Table1[[#This Row],[hr]]&lt;17,"Afternoon",IF(Table1[[#This Row],[hr]]&lt;21,"Evening","Night")))</f>
        <v>Morning</v>
      </c>
    </row>
    <row r="121" spans="1:11" x14ac:dyDescent="0.2">
      <c r="A121" s="1">
        <v>120</v>
      </c>
      <c r="B121" s="3">
        <v>40549</v>
      </c>
      <c r="C121" s="1">
        <v>1</v>
      </c>
      <c r="D121" s="1">
        <v>5</v>
      </c>
      <c r="E121" s="1" t="b">
        <v>0</v>
      </c>
      <c r="F121" s="1">
        <v>4</v>
      </c>
      <c r="G121" s="1">
        <v>2</v>
      </c>
      <c r="H121" s="1">
        <v>0.14000000000000001</v>
      </c>
      <c r="I121" s="1" t="str">
        <f>IF(Table1[[#This Row],[weekday]]&gt;=6,"weekend","weekday")</f>
        <v>weekday</v>
      </c>
      <c r="J121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121" s="1" t="str">
        <f>IF(Table1[[#This Row],[hr]]&lt;12,"Morning",IF(Table1[[#This Row],[hr]]&lt;17,"Afternoon",IF(Table1[[#This Row],[hr]]&lt;21,"Evening","Night")))</f>
        <v>Morning</v>
      </c>
    </row>
    <row r="122" spans="1:11" x14ac:dyDescent="0.2">
      <c r="A122" s="1">
        <v>121</v>
      </c>
      <c r="B122" s="3">
        <v>40549</v>
      </c>
      <c r="C122" s="1">
        <v>1</v>
      </c>
      <c r="D122" s="1">
        <v>6</v>
      </c>
      <c r="E122" s="1" t="b">
        <v>0</v>
      </c>
      <c r="F122" s="1">
        <v>4</v>
      </c>
      <c r="G122" s="1">
        <v>2</v>
      </c>
      <c r="H122" s="1">
        <v>0.14000000000000001</v>
      </c>
      <c r="I122" s="1" t="str">
        <f>IF(Table1[[#This Row],[weekday]]&gt;=6,"weekend","weekday")</f>
        <v>weekday</v>
      </c>
      <c r="J122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122" s="1" t="str">
        <f>IF(Table1[[#This Row],[hr]]&lt;12,"Morning",IF(Table1[[#This Row],[hr]]&lt;17,"Afternoon",IF(Table1[[#This Row],[hr]]&lt;21,"Evening","Night")))</f>
        <v>Morning</v>
      </c>
    </row>
    <row r="123" spans="1:11" x14ac:dyDescent="0.2">
      <c r="A123" s="1">
        <v>122</v>
      </c>
      <c r="B123" s="3">
        <v>40549</v>
      </c>
      <c r="C123" s="1">
        <v>1</v>
      </c>
      <c r="D123" s="1">
        <v>7</v>
      </c>
      <c r="E123" s="1" t="b">
        <v>0</v>
      </c>
      <c r="F123" s="1">
        <v>4</v>
      </c>
      <c r="G123" s="1">
        <v>2</v>
      </c>
      <c r="H123" s="1">
        <v>0.16</v>
      </c>
      <c r="I123" s="1" t="str">
        <f>IF(Table1[[#This Row],[weekday]]&gt;=6,"weekend","weekday")</f>
        <v>weekday</v>
      </c>
      <c r="J123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123" s="1" t="str">
        <f>IF(Table1[[#This Row],[hr]]&lt;12,"Morning",IF(Table1[[#This Row],[hr]]&lt;17,"Afternoon",IF(Table1[[#This Row],[hr]]&lt;21,"Evening","Night")))</f>
        <v>Morning</v>
      </c>
    </row>
    <row r="124" spans="1:11" x14ac:dyDescent="0.2">
      <c r="A124" s="1">
        <v>123</v>
      </c>
      <c r="B124" s="3">
        <v>40549</v>
      </c>
      <c r="C124" s="1">
        <v>1</v>
      </c>
      <c r="D124" s="1">
        <v>8</v>
      </c>
      <c r="E124" s="1" t="b">
        <v>0</v>
      </c>
      <c r="F124" s="1">
        <v>4</v>
      </c>
      <c r="G124" s="1">
        <v>1</v>
      </c>
      <c r="H124" s="1">
        <v>0.16</v>
      </c>
      <c r="I124" s="1" t="str">
        <f>IF(Table1[[#This Row],[weekday]]&gt;=6,"weekend","weekday")</f>
        <v>weekday</v>
      </c>
      <c r="J124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124" s="1" t="str">
        <f>IF(Table1[[#This Row],[hr]]&lt;12,"Morning",IF(Table1[[#This Row],[hr]]&lt;17,"Afternoon",IF(Table1[[#This Row],[hr]]&lt;21,"Evening","Night")))</f>
        <v>Morning</v>
      </c>
    </row>
    <row r="125" spans="1:11" x14ac:dyDescent="0.2">
      <c r="A125" s="1">
        <v>124</v>
      </c>
      <c r="B125" s="3">
        <v>40549</v>
      </c>
      <c r="C125" s="1">
        <v>1</v>
      </c>
      <c r="D125" s="1">
        <v>9</v>
      </c>
      <c r="E125" s="1" t="b">
        <v>0</v>
      </c>
      <c r="F125" s="1">
        <v>4</v>
      </c>
      <c r="G125" s="1">
        <v>2</v>
      </c>
      <c r="H125" s="1">
        <v>0.18</v>
      </c>
      <c r="I125" s="1" t="str">
        <f>IF(Table1[[#This Row],[weekday]]&gt;=6,"weekend","weekday")</f>
        <v>weekday</v>
      </c>
      <c r="J125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125" s="1" t="str">
        <f>IF(Table1[[#This Row],[hr]]&lt;12,"Morning",IF(Table1[[#This Row],[hr]]&lt;17,"Afternoon",IF(Table1[[#This Row],[hr]]&lt;21,"Evening","Night")))</f>
        <v>Morning</v>
      </c>
    </row>
    <row r="126" spans="1:11" x14ac:dyDescent="0.2">
      <c r="A126" s="1">
        <v>125</v>
      </c>
      <c r="B126" s="3">
        <v>40549</v>
      </c>
      <c r="C126" s="1">
        <v>1</v>
      </c>
      <c r="D126" s="1">
        <v>10</v>
      </c>
      <c r="E126" s="1" t="b">
        <v>0</v>
      </c>
      <c r="F126" s="1">
        <v>4</v>
      </c>
      <c r="G126" s="1">
        <v>1</v>
      </c>
      <c r="H126" s="1">
        <v>0.2</v>
      </c>
      <c r="I126" s="1" t="str">
        <f>IF(Table1[[#This Row],[weekday]]&gt;=6,"weekend","weekday")</f>
        <v>weekday</v>
      </c>
      <c r="J126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126" s="1" t="str">
        <f>IF(Table1[[#This Row],[hr]]&lt;12,"Morning",IF(Table1[[#This Row],[hr]]&lt;17,"Afternoon",IF(Table1[[#This Row],[hr]]&lt;21,"Evening","Night")))</f>
        <v>Morning</v>
      </c>
    </row>
    <row r="127" spans="1:11" x14ac:dyDescent="0.2">
      <c r="A127" s="1">
        <v>126</v>
      </c>
      <c r="B127" s="3">
        <v>40549</v>
      </c>
      <c r="C127" s="1">
        <v>1</v>
      </c>
      <c r="D127" s="1">
        <v>11</v>
      </c>
      <c r="E127" s="1" t="b">
        <v>0</v>
      </c>
      <c r="F127" s="1">
        <v>4</v>
      </c>
      <c r="G127" s="1">
        <v>1</v>
      </c>
      <c r="H127" s="1">
        <v>0.22</v>
      </c>
      <c r="I127" s="1" t="str">
        <f>IF(Table1[[#This Row],[weekday]]&gt;=6,"weekend","weekday")</f>
        <v>weekday</v>
      </c>
      <c r="J127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127" s="1" t="str">
        <f>IF(Table1[[#This Row],[hr]]&lt;12,"Morning",IF(Table1[[#This Row],[hr]]&lt;17,"Afternoon",IF(Table1[[#This Row],[hr]]&lt;21,"Evening","Night")))</f>
        <v>Morning</v>
      </c>
    </row>
    <row r="128" spans="1:11" x14ac:dyDescent="0.2">
      <c r="A128" s="1">
        <v>127</v>
      </c>
      <c r="B128" s="3">
        <v>40549</v>
      </c>
      <c r="C128" s="1">
        <v>1</v>
      </c>
      <c r="D128" s="1">
        <v>12</v>
      </c>
      <c r="E128" s="1" t="b">
        <v>0</v>
      </c>
      <c r="F128" s="1">
        <v>4</v>
      </c>
      <c r="G128" s="1">
        <v>1</v>
      </c>
      <c r="H128" s="1">
        <v>0.26</v>
      </c>
      <c r="I128" s="1" t="str">
        <f>IF(Table1[[#This Row],[weekday]]&gt;=6,"weekend","weekday")</f>
        <v>weekday</v>
      </c>
      <c r="J128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128" s="1" t="str">
        <f>IF(Table1[[#This Row],[hr]]&lt;12,"Morning",IF(Table1[[#This Row],[hr]]&lt;17,"Afternoon",IF(Table1[[#This Row],[hr]]&lt;21,"Evening","Night")))</f>
        <v>Afternoon</v>
      </c>
    </row>
    <row r="129" spans="1:11" x14ac:dyDescent="0.2">
      <c r="A129" s="1">
        <v>128</v>
      </c>
      <c r="B129" s="3">
        <v>40549</v>
      </c>
      <c r="C129" s="1">
        <v>1</v>
      </c>
      <c r="D129" s="1">
        <v>13</v>
      </c>
      <c r="E129" s="1" t="b">
        <v>0</v>
      </c>
      <c r="F129" s="1">
        <v>4</v>
      </c>
      <c r="G129" s="1">
        <v>1</v>
      </c>
      <c r="H129" s="1">
        <v>0.26</v>
      </c>
      <c r="I129" s="1" t="str">
        <f>IF(Table1[[#This Row],[weekday]]&gt;=6,"weekend","weekday")</f>
        <v>weekday</v>
      </c>
      <c r="J129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129" s="1" t="str">
        <f>IF(Table1[[#This Row],[hr]]&lt;12,"Morning",IF(Table1[[#This Row],[hr]]&lt;17,"Afternoon",IF(Table1[[#This Row],[hr]]&lt;21,"Evening","Night")))</f>
        <v>Afternoon</v>
      </c>
    </row>
    <row r="130" spans="1:11" x14ac:dyDescent="0.2">
      <c r="A130" s="1">
        <v>129</v>
      </c>
      <c r="B130" s="3">
        <v>40549</v>
      </c>
      <c r="C130" s="1">
        <v>1</v>
      </c>
      <c r="D130" s="1">
        <v>14</v>
      </c>
      <c r="E130" s="1" t="b">
        <v>0</v>
      </c>
      <c r="F130" s="1">
        <v>4</v>
      </c>
      <c r="G130" s="1">
        <v>1</v>
      </c>
      <c r="H130" s="1">
        <v>0.28000000000000003</v>
      </c>
      <c r="I130" s="1" t="str">
        <f>IF(Table1[[#This Row],[weekday]]&gt;=6,"weekend","weekday")</f>
        <v>weekday</v>
      </c>
      <c r="J130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130" s="1" t="str">
        <f>IF(Table1[[#This Row],[hr]]&lt;12,"Morning",IF(Table1[[#This Row],[hr]]&lt;17,"Afternoon",IF(Table1[[#This Row],[hr]]&lt;21,"Evening","Night")))</f>
        <v>Afternoon</v>
      </c>
    </row>
    <row r="131" spans="1:11" x14ac:dyDescent="0.2">
      <c r="A131" s="1">
        <v>130</v>
      </c>
      <c r="B131" s="3">
        <v>40549</v>
      </c>
      <c r="C131" s="1">
        <v>1</v>
      </c>
      <c r="D131" s="1">
        <v>15</v>
      </c>
      <c r="E131" s="1" t="b">
        <v>0</v>
      </c>
      <c r="F131" s="1">
        <v>4</v>
      </c>
      <c r="G131" s="1">
        <v>1</v>
      </c>
      <c r="H131" s="1">
        <v>0.28000000000000003</v>
      </c>
      <c r="I131" s="1" t="str">
        <f>IF(Table1[[#This Row],[weekday]]&gt;=6,"weekend","weekday")</f>
        <v>weekday</v>
      </c>
      <c r="J131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131" s="1" t="str">
        <f>IF(Table1[[#This Row],[hr]]&lt;12,"Morning",IF(Table1[[#This Row],[hr]]&lt;17,"Afternoon",IF(Table1[[#This Row],[hr]]&lt;21,"Evening","Night")))</f>
        <v>Afternoon</v>
      </c>
    </row>
    <row r="132" spans="1:11" x14ac:dyDescent="0.2">
      <c r="A132" s="1">
        <v>131</v>
      </c>
      <c r="B132" s="3">
        <v>40549</v>
      </c>
      <c r="C132" s="1">
        <v>1</v>
      </c>
      <c r="D132" s="1">
        <v>16</v>
      </c>
      <c r="E132" s="1" t="b">
        <v>0</v>
      </c>
      <c r="F132" s="1">
        <v>4</v>
      </c>
      <c r="G132" s="1">
        <v>1</v>
      </c>
      <c r="H132" s="1">
        <v>0.26</v>
      </c>
      <c r="I132" s="1" t="str">
        <f>IF(Table1[[#This Row],[weekday]]&gt;=6,"weekend","weekday")</f>
        <v>weekday</v>
      </c>
      <c r="J132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132" s="1" t="str">
        <f>IF(Table1[[#This Row],[hr]]&lt;12,"Morning",IF(Table1[[#This Row],[hr]]&lt;17,"Afternoon",IF(Table1[[#This Row],[hr]]&lt;21,"Evening","Night")))</f>
        <v>Afternoon</v>
      </c>
    </row>
    <row r="133" spans="1:11" x14ac:dyDescent="0.2">
      <c r="A133" s="1">
        <v>132</v>
      </c>
      <c r="B133" s="3">
        <v>40549</v>
      </c>
      <c r="C133" s="1">
        <v>1</v>
      </c>
      <c r="D133" s="1">
        <v>17</v>
      </c>
      <c r="E133" s="1" t="b">
        <v>0</v>
      </c>
      <c r="F133" s="1">
        <v>4</v>
      </c>
      <c r="G133" s="1">
        <v>1</v>
      </c>
      <c r="H133" s="1">
        <v>0.22</v>
      </c>
      <c r="I133" s="1" t="str">
        <f>IF(Table1[[#This Row],[weekday]]&gt;=6,"weekend","weekday")</f>
        <v>weekday</v>
      </c>
      <c r="J133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133" s="1" t="str">
        <f>IF(Table1[[#This Row],[hr]]&lt;12,"Morning",IF(Table1[[#This Row],[hr]]&lt;17,"Afternoon",IF(Table1[[#This Row],[hr]]&lt;21,"Evening","Night")))</f>
        <v>Evening</v>
      </c>
    </row>
    <row r="134" spans="1:11" x14ac:dyDescent="0.2">
      <c r="A134" s="1">
        <v>133</v>
      </c>
      <c r="B134" s="3">
        <v>40549</v>
      </c>
      <c r="C134" s="1">
        <v>1</v>
      </c>
      <c r="D134" s="1">
        <v>18</v>
      </c>
      <c r="E134" s="1" t="b">
        <v>0</v>
      </c>
      <c r="F134" s="1">
        <v>4</v>
      </c>
      <c r="G134" s="1">
        <v>1</v>
      </c>
      <c r="H134" s="1">
        <v>0.22</v>
      </c>
      <c r="I134" s="1" t="str">
        <f>IF(Table1[[#This Row],[weekday]]&gt;=6,"weekend","weekday")</f>
        <v>weekday</v>
      </c>
      <c r="J134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134" s="1" t="str">
        <f>IF(Table1[[#This Row],[hr]]&lt;12,"Morning",IF(Table1[[#This Row],[hr]]&lt;17,"Afternoon",IF(Table1[[#This Row],[hr]]&lt;21,"Evening","Night")))</f>
        <v>Evening</v>
      </c>
    </row>
    <row r="135" spans="1:11" x14ac:dyDescent="0.2">
      <c r="A135" s="1">
        <v>134</v>
      </c>
      <c r="B135" s="3">
        <v>40549</v>
      </c>
      <c r="C135" s="1">
        <v>1</v>
      </c>
      <c r="D135" s="1">
        <v>19</v>
      </c>
      <c r="E135" s="1" t="b">
        <v>0</v>
      </c>
      <c r="F135" s="1">
        <v>4</v>
      </c>
      <c r="G135" s="1">
        <v>1</v>
      </c>
      <c r="H135" s="1">
        <v>0.22</v>
      </c>
      <c r="I135" s="1" t="str">
        <f>IF(Table1[[#This Row],[weekday]]&gt;=6,"weekend","weekday")</f>
        <v>weekday</v>
      </c>
      <c r="J135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135" s="1" t="str">
        <f>IF(Table1[[#This Row],[hr]]&lt;12,"Morning",IF(Table1[[#This Row],[hr]]&lt;17,"Afternoon",IF(Table1[[#This Row],[hr]]&lt;21,"Evening","Night")))</f>
        <v>Evening</v>
      </c>
    </row>
    <row r="136" spans="1:11" x14ac:dyDescent="0.2">
      <c r="A136" s="1">
        <v>135</v>
      </c>
      <c r="B136" s="3">
        <v>40549</v>
      </c>
      <c r="C136" s="1">
        <v>1</v>
      </c>
      <c r="D136" s="1">
        <v>20</v>
      </c>
      <c r="E136" s="1" t="b">
        <v>0</v>
      </c>
      <c r="F136" s="1">
        <v>4</v>
      </c>
      <c r="G136" s="1">
        <v>1</v>
      </c>
      <c r="H136" s="1">
        <v>0.2</v>
      </c>
      <c r="I136" s="1" t="str">
        <f>IF(Table1[[#This Row],[weekday]]&gt;=6,"weekend","weekday")</f>
        <v>weekday</v>
      </c>
      <c r="J136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136" s="1" t="str">
        <f>IF(Table1[[#This Row],[hr]]&lt;12,"Morning",IF(Table1[[#This Row],[hr]]&lt;17,"Afternoon",IF(Table1[[#This Row],[hr]]&lt;21,"Evening","Night")))</f>
        <v>Evening</v>
      </c>
    </row>
    <row r="137" spans="1:11" x14ac:dyDescent="0.2">
      <c r="A137" s="1">
        <v>136</v>
      </c>
      <c r="B137" s="3">
        <v>40549</v>
      </c>
      <c r="C137" s="1">
        <v>1</v>
      </c>
      <c r="D137" s="1">
        <v>21</v>
      </c>
      <c r="E137" s="1" t="b">
        <v>0</v>
      </c>
      <c r="F137" s="1">
        <v>4</v>
      </c>
      <c r="G137" s="1">
        <v>2</v>
      </c>
      <c r="H137" s="1">
        <v>0.22</v>
      </c>
      <c r="I137" s="1" t="str">
        <f>IF(Table1[[#This Row],[weekday]]&gt;=6,"weekend","weekday")</f>
        <v>weekday</v>
      </c>
      <c r="J137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137" s="1" t="str">
        <f>IF(Table1[[#This Row],[hr]]&lt;12,"Morning",IF(Table1[[#This Row],[hr]]&lt;17,"Afternoon",IF(Table1[[#This Row],[hr]]&lt;21,"Evening","Night")))</f>
        <v>Night</v>
      </c>
    </row>
    <row r="138" spans="1:11" x14ac:dyDescent="0.2">
      <c r="A138" s="1">
        <v>137</v>
      </c>
      <c r="B138" s="3">
        <v>40549</v>
      </c>
      <c r="C138" s="1">
        <v>1</v>
      </c>
      <c r="D138" s="1">
        <v>22</v>
      </c>
      <c r="E138" s="1" t="b">
        <v>0</v>
      </c>
      <c r="F138" s="1">
        <v>4</v>
      </c>
      <c r="G138" s="1">
        <v>2</v>
      </c>
      <c r="H138" s="1">
        <v>0.22</v>
      </c>
      <c r="I138" s="1" t="str">
        <f>IF(Table1[[#This Row],[weekday]]&gt;=6,"weekend","weekday")</f>
        <v>weekday</v>
      </c>
      <c r="J138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138" s="1" t="str">
        <f>IF(Table1[[#This Row],[hr]]&lt;12,"Morning",IF(Table1[[#This Row],[hr]]&lt;17,"Afternoon",IF(Table1[[#This Row],[hr]]&lt;21,"Evening","Night")))</f>
        <v>Night</v>
      </c>
    </row>
    <row r="139" spans="1:11" x14ac:dyDescent="0.2">
      <c r="A139" s="1">
        <v>138</v>
      </c>
      <c r="B139" s="3">
        <v>40549</v>
      </c>
      <c r="C139" s="1">
        <v>1</v>
      </c>
      <c r="D139" s="1">
        <v>23</v>
      </c>
      <c r="E139" s="1" t="b">
        <v>0</v>
      </c>
      <c r="F139" s="1">
        <v>4</v>
      </c>
      <c r="G139" s="1">
        <v>2</v>
      </c>
      <c r="H139" s="1">
        <v>0.2</v>
      </c>
      <c r="I139" s="1" t="str">
        <f>IF(Table1[[#This Row],[weekday]]&gt;=6,"weekend","weekday")</f>
        <v>weekday</v>
      </c>
      <c r="J139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139" s="1" t="str">
        <f>IF(Table1[[#This Row],[hr]]&lt;12,"Morning",IF(Table1[[#This Row],[hr]]&lt;17,"Afternoon",IF(Table1[[#This Row],[hr]]&lt;21,"Evening","Night")))</f>
        <v>Night</v>
      </c>
    </row>
    <row r="140" spans="1:11" x14ac:dyDescent="0.2">
      <c r="A140" s="1">
        <v>139</v>
      </c>
      <c r="B140" s="3">
        <v>40550</v>
      </c>
      <c r="C140" s="1">
        <v>1</v>
      </c>
      <c r="D140" s="1">
        <v>0</v>
      </c>
      <c r="E140" s="1" t="b">
        <v>0</v>
      </c>
      <c r="F140" s="1">
        <v>5</v>
      </c>
      <c r="G140" s="1">
        <v>2</v>
      </c>
      <c r="H140" s="1">
        <v>0.2</v>
      </c>
      <c r="I140" s="1" t="str">
        <f>IF(Table1[[#This Row],[weekday]]&gt;=6,"weekend","weekday")</f>
        <v>weekday</v>
      </c>
      <c r="J140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140" s="1" t="str">
        <f>IF(Table1[[#This Row],[hr]]&lt;12,"Morning",IF(Table1[[#This Row],[hr]]&lt;17,"Afternoon",IF(Table1[[#This Row],[hr]]&lt;21,"Evening","Night")))</f>
        <v>Morning</v>
      </c>
    </row>
    <row r="141" spans="1:11" x14ac:dyDescent="0.2">
      <c r="A141" s="1">
        <v>140</v>
      </c>
      <c r="B141" s="3">
        <v>40550</v>
      </c>
      <c r="C141" s="1">
        <v>1</v>
      </c>
      <c r="D141" s="1">
        <v>1</v>
      </c>
      <c r="E141" s="1" t="b">
        <v>0</v>
      </c>
      <c r="F141" s="1">
        <v>5</v>
      </c>
      <c r="G141" s="1">
        <v>2</v>
      </c>
      <c r="H141" s="1">
        <v>0.2</v>
      </c>
      <c r="I141" s="1" t="str">
        <f>IF(Table1[[#This Row],[weekday]]&gt;=6,"weekend","weekday")</f>
        <v>weekday</v>
      </c>
      <c r="J141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141" s="1" t="str">
        <f>IF(Table1[[#This Row],[hr]]&lt;12,"Morning",IF(Table1[[#This Row],[hr]]&lt;17,"Afternoon",IF(Table1[[#This Row],[hr]]&lt;21,"Evening","Night")))</f>
        <v>Morning</v>
      </c>
    </row>
    <row r="142" spans="1:11" x14ac:dyDescent="0.2">
      <c r="A142" s="1">
        <v>141</v>
      </c>
      <c r="B142" s="3">
        <v>40550</v>
      </c>
      <c r="C142" s="1">
        <v>1</v>
      </c>
      <c r="D142" s="1">
        <v>2</v>
      </c>
      <c r="E142" s="1" t="b">
        <v>0</v>
      </c>
      <c r="F142" s="1">
        <v>5</v>
      </c>
      <c r="G142" s="1">
        <v>2</v>
      </c>
      <c r="H142" s="1">
        <v>0.2</v>
      </c>
      <c r="I142" s="1" t="str">
        <f>IF(Table1[[#This Row],[weekday]]&gt;=6,"weekend","weekday")</f>
        <v>weekday</v>
      </c>
      <c r="J142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142" s="1" t="str">
        <f>IF(Table1[[#This Row],[hr]]&lt;12,"Morning",IF(Table1[[#This Row],[hr]]&lt;17,"Afternoon",IF(Table1[[#This Row],[hr]]&lt;21,"Evening","Night")))</f>
        <v>Morning</v>
      </c>
    </row>
    <row r="143" spans="1:11" x14ac:dyDescent="0.2">
      <c r="A143" s="1">
        <v>142</v>
      </c>
      <c r="B143" s="3">
        <v>40550</v>
      </c>
      <c r="C143" s="1">
        <v>1</v>
      </c>
      <c r="D143" s="1">
        <v>4</v>
      </c>
      <c r="E143" s="1" t="b">
        <v>0</v>
      </c>
      <c r="F143" s="1">
        <v>5</v>
      </c>
      <c r="G143" s="1">
        <v>2</v>
      </c>
      <c r="H143" s="1">
        <v>0.2</v>
      </c>
      <c r="I143" s="1" t="str">
        <f>IF(Table1[[#This Row],[weekday]]&gt;=6,"weekend","weekday")</f>
        <v>weekday</v>
      </c>
      <c r="J143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143" s="1" t="str">
        <f>IF(Table1[[#This Row],[hr]]&lt;12,"Morning",IF(Table1[[#This Row],[hr]]&lt;17,"Afternoon",IF(Table1[[#This Row],[hr]]&lt;21,"Evening","Night")))</f>
        <v>Morning</v>
      </c>
    </row>
    <row r="144" spans="1:11" x14ac:dyDescent="0.2">
      <c r="A144" s="1">
        <v>143</v>
      </c>
      <c r="B144" s="3">
        <v>40550</v>
      </c>
      <c r="C144" s="1">
        <v>1</v>
      </c>
      <c r="D144" s="1">
        <v>5</v>
      </c>
      <c r="E144" s="1" t="b">
        <v>0</v>
      </c>
      <c r="F144" s="1">
        <v>5</v>
      </c>
      <c r="G144" s="1">
        <v>3</v>
      </c>
      <c r="H144" s="1">
        <v>0.22</v>
      </c>
      <c r="I144" s="1" t="str">
        <f>IF(Table1[[#This Row],[weekday]]&gt;=6,"weekend","weekday")</f>
        <v>weekday</v>
      </c>
      <c r="J144" s="1" t="str">
        <f>IF(Table1[[#This Row],[weathersit]]=1,"clear sky",IF(Table1[[#This Row],[weathersit]]=2,"Little cloudy",IF(Table1[[#This Row],[weathersit]]=3,"Little Rain",IF(Table1[[#This Row],[weathersit]]=4,"Heavy Rainfoll"," "))))</f>
        <v>Little Rain</v>
      </c>
      <c r="K144" s="1" t="str">
        <f>IF(Table1[[#This Row],[hr]]&lt;12,"Morning",IF(Table1[[#This Row],[hr]]&lt;17,"Afternoon",IF(Table1[[#This Row],[hr]]&lt;21,"Evening","Night")))</f>
        <v>Morning</v>
      </c>
    </row>
    <row r="145" spans="1:11" x14ac:dyDescent="0.2">
      <c r="A145" s="1">
        <v>144</v>
      </c>
      <c r="B145" s="3">
        <v>40550</v>
      </c>
      <c r="C145" s="1">
        <v>1</v>
      </c>
      <c r="D145" s="1">
        <v>6</v>
      </c>
      <c r="E145" s="1" t="b">
        <v>0</v>
      </c>
      <c r="F145" s="1">
        <v>5</v>
      </c>
      <c r="G145" s="1">
        <v>2</v>
      </c>
      <c r="H145" s="1">
        <v>0.2</v>
      </c>
      <c r="I145" s="1" t="str">
        <f>IF(Table1[[#This Row],[weekday]]&gt;=6,"weekend","weekday")</f>
        <v>weekday</v>
      </c>
      <c r="J145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145" s="1" t="str">
        <f>IF(Table1[[#This Row],[hr]]&lt;12,"Morning",IF(Table1[[#This Row],[hr]]&lt;17,"Afternoon",IF(Table1[[#This Row],[hr]]&lt;21,"Evening","Night")))</f>
        <v>Morning</v>
      </c>
    </row>
    <row r="146" spans="1:11" x14ac:dyDescent="0.2">
      <c r="A146" s="1">
        <v>145</v>
      </c>
      <c r="B146" s="3">
        <v>40550</v>
      </c>
      <c r="C146" s="1">
        <v>1</v>
      </c>
      <c r="D146" s="1">
        <v>7</v>
      </c>
      <c r="E146" s="1" t="b">
        <v>0</v>
      </c>
      <c r="F146" s="1">
        <v>5</v>
      </c>
      <c r="G146" s="1">
        <v>1</v>
      </c>
      <c r="H146" s="1">
        <v>0.2</v>
      </c>
      <c r="I146" s="1" t="str">
        <f>IF(Table1[[#This Row],[weekday]]&gt;=6,"weekend","weekday")</f>
        <v>weekday</v>
      </c>
      <c r="J146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146" s="1" t="str">
        <f>IF(Table1[[#This Row],[hr]]&lt;12,"Morning",IF(Table1[[#This Row],[hr]]&lt;17,"Afternoon",IF(Table1[[#This Row],[hr]]&lt;21,"Evening","Night")))</f>
        <v>Morning</v>
      </c>
    </row>
    <row r="147" spans="1:11" x14ac:dyDescent="0.2">
      <c r="A147" s="1">
        <v>146</v>
      </c>
      <c r="B147" s="3">
        <v>40550</v>
      </c>
      <c r="C147" s="1">
        <v>1</v>
      </c>
      <c r="D147" s="1">
        <v>8</v>
      </c>
      <c r="E147" s="1" t="b">
        <v>0</v>
      </c>
      <c r="F147" s="1">
        <v>5</v>
      </c>
      <c r="G147" s="1">
        <v>1</v>
      </c>
      <c r="H147" s="1">
        <v>0.2</v>
      </c>
      <c r="I147" s="1" t="str">
        <f>IF(Table1[[#This Row],[weekday]]&gt;=6,"weekend","weekday")</f>
        <v>weekday</v>
      </c>
      <c r="J147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147" s="1" t="str">
        <f>IF(Table1[[#This Row],[hr]]&lt;12,"Morning",IF(Table1[[#This Row],[hr]]&lt;17,"Afternoon",IF(Table1[[#This Row],[hr]]&lt;21,"Evening","Night")))</f>
        <v>Morning</v>
      </c>
    </row>
    <row r="148" spans="1:11" x14ac:dyDescent="0.2">
      <c r="A148" s="1">
        <v>147</v>
      </c>
      <c r="B148" s="3">
        <v>40550</v>
      </c>
      <c r="C148" s="1">
        <v>1</v>
      </c>
      <c r="D148" s="1">
        <v>9</v>
      </c>
      <c r="E148" s="1" t="b">
        <v>0</v>
      </c>
      <c r="F148" s="1">
        <v>5</v>
      </c>
      <c r="G148" s="1">
        <v>1</v>
      </c>
      <c r="H148" s="1">
        <v>0.2</v>
      </c>
      <c r="I148" s="1" t="str">
        <f>IF(Table1[[#This Row],[weekday]]&gt;=6,"weekend","weekday")</f>
        <v>weekday</v>
      </c>
      <c r="J148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148" s="1" t="str">
        <f>IF(Table1[[#This Row],[hr]]&lt;12,"Morning",IF(Table1[[#This Row],[hr]]&lt;17,"Afternoon",IF(Table1[[#This Row],[hr]]&lt;21,"Evening","Night")))</f>
        <v>Morning</v>
      </c>
    </row>
    <row r="149" spans="1:11" x14ac:dyDescent="0.2">
      <c r="A149" s="1">
        <v>148</v>
      </c>
      <c r="B149" s="3">
        <v>40550</v>
      </c>
      <c r="C149" s="1">
        <v>1</v>
      </c>
      <c r="D149" s="1">
        <v>10</v>
      </c>
      <c r="E149" s="1" t="b">
        <v>0</v>
      </c>
      <c r="F149" s="1">
        <v>5</v>
      </c>
      <c r="G149" s="1">
        <v>1</v>
      </c>
      <c r="H149" s="1">
        <v>0.22</v>
      </c>
      <c r="I149" s="1" t="str">
        <f>IF(Table1[[#This Row],[weekday]]&gt;=6,"weekend","weekday")</f>
        <v>weekday</v>
      </c>
      <c r="J149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149" s="1" t="str">
        <f>IF(Table1[[#This Row],[hr]]&lt;12,"Morning",IF(Table1[[#This Row],[hr]]&lt;17,"Afternoon",IF(Table1[[#This Row],[hr]]&lt;21,"Evening","Night")))</f>
        <v>Morning</v>
      </c>
    </row>
    <row r="150" spans="1:11" x14ac:dyDescent="0.2">
      <c r="A150" s="1">
        <v>149</v>
      </c>
      <c r="B150" s="3">
        <v>40550</v>
      </c>
      <c r="C150" s="1">
        <v>1</v>
      </c>
      <c r="D150" s="1">
        <v>11</v>
      </c>
      <c r="E150" s="1" t="b">
        <v>0</v>
      </c>
      <c r="F150" s="1">
        <v>5</v>
      </c>
      <c r="G150" s="1">
        <v>2</v>
      </c>
      <c r="H150" s="1">
        <v>0.2</v>
      </c>
      <c r="I150" s="1" t="str">
        <f>IF(Table1[[#This Row],[weekday]]&gt;=6,"weekend","weekday")</f>
        <v>weekday</v>
      </c>
      <c r="J150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150" s="1" t="str">
        <f>IF(Table1[[#This Row],[hr]]&lt;12,"Morning",IF(Table1[[#This Row],[hr]]&lt;17,"Afternoon",IF(Table1[[#This Row],[hr]]&lt;21,"Evening","Night")))</f>
        <v>Morning</v>
      </c>
    </row>
    <row r="151" spans="1:11" x14ac:dyDescent="0.2">
      <c r="A151" s="1">
        <v>150</v>
      </c>
      <c r="B151" s="3">
        <v>40550</v>
      </c>
      <c r="C151" s="1">
        <v>1</v>
      </c>
      <c r="D151" s="1">
        <v>12</v>
      </c>
      <c r="E151" s="1" t="b">
        <v>0</v>
      </c>
      <c r="F151" s="1">
        <v>5</v>
      </c>
      <c r="G151" s="1">
        <v>2</v>
      </c>
      <c r="H151" s="1">
        <v>0.2</v>
      </c>
      <c r="I151" s="1" t="str">
        <f>IF(Table1[[#This Row],[weekday]]&gt;=6,"weekend","weekday")</f>
        <v>weekday</v>
      </c>
      <c r="J151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151" s="1" t="str">
        <f>IF(Table1[[#This Row],[hr]]&lt;12,"Morning",IF(Table1[[#This Row],[hr]]&lt;17,"Afternoon",IF(Table1[[#This Row],[hr]]&lt;21,"Evening","Night")))</f>
        <v>Afternoon</v>
      </c>
    </row>
    <row r="152" spans="1:11" x14ac:dyDescent="0.2">
      <c r="A152" s="1">
        <v>151</v>
      </c>
      <c r="B152" s="3">
        <v>40550</v>
      </c>
      <c r="C152" s="1">
        <v>1</v>
      </c>
      <c r="D152" s="1">
        <v>13</v>
      </c>
      <c r="E152" s="1" t="b">
        <v>0</v>
      </c>
      <c r="F152" s="1">
        <v>5</v>
      </c>
      <c r="G152" s="1">
        <v>2</v>
      </c>
      <c r="H152" s="1">
        <v>0.2</v>
      </c>
      <c r="I152" s="1" t="str">
        <f>IF(Table1[[#This Row],[weekday]]&gt;=6,"weekend","weekday")</f>
        <v>weekday</v>
      </c>
      <c r="J152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152" s="1" t="str">
        <f>IF(Table1[[#This Row],[hr]]&lt;12,"Morning",IF(Table1[[#This Row],[hr]]&lt;17,"Afternoon",IF(Table1[[#This Row],[hr]]&lt;21,"Evening","Night")))</f>
        <v>Afternoon</v>
      </c>
    </row>
    <row r="153" spans="1:11" x14ac:dyDescent="0.2">
      <c r="A153" s="1">
        <v>152</v>
      </c>
      <c r="B153" s="3">
        <v>40550</v>
      </c>
      <c r="C153" s="1">
        <v>1</v>
      </c>
      <c r="D153" s="1">
        <v>14</v>
      </c>
      <c r="E153" s="1" t="b">
        <v>0</v>
      </c>
      <c r="F153" s="1">
        <v>5</v>
      </c>
      <c r="G153" s="1">
        <v>2</v>
      </c>
      <c r="H153" s="1">
        <v>0.2</v>
      </c>
      <c r="I153" s="1" t="str">
        <f>IF(Table1[[#This Row],[weekday]]&gt;=6,"weekend","weekday")</f>
        <v>weekday</v>
      </c>
      <c r="J153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153" s="1" t="str">
        <f>IF(Table1[[#This Row],[hr]]&lt;12,"Morning",IF(Table1[[#This Row],[hr]]&lt;17,"Afternoon",IF(Table1[[#This Row],[hr]]&lt;21,"Evening","Night")))</f>
        <v>Afternoon</v>
      </c>
    </row>
    <row r="154" spans="1:11" x14ac:dyDescent="0.2">
      <c r="A154" s="1">
        <v>153</v>
      </c>
      <c r="B154" s="3">
        <v>40550</v>
      </c>
      <c r="C154" s="1">
        <v>1</v>
      </c>
      <c r="D154" s="1">
        <v>15</v>
      </c>
      <c r="E154" s="1" t="b">
        <v>0</v>
      </c>
      <c r="F154" s="1">
        <v>5</v>
      </c>
      <c r="G154" s="1">
        <v>2</v>
      </c>
      <c r="H154" s="1">
        <v>0.2</v>
      </c>
      <c r="I154" s="1" t="str">
        <f>IF(Table1[[#This Row],[weekday]]&gt;=6,"weekend","weekday")</f>
        <v>weekday</v>
      </c>
      <c r="J154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154" s="1" t="str">
        <f>IF(Table1[[#This Row],[hr]]&lt;12,"Morning",IF(Table1[[#This Row],[hr]]&lt;17,"Afternoon",IF(Table1[[#This Row],[hr]]&lt;21,"Evening","Night")))</f>
        <v>Afternoon</v>
      </c>
    </row>
    <row r="155" spans="1:11" x14ac:dyDescent="0.2">
      <c r="A155" s="1">
        <v>154</v>
      </c>
      <c r="B155" s="3">
        <v>40550</v>
      </c>
      <c r="C155" s="1">
        <v>1</v>
      </c>
      <c r="D155" s="1">
        <v>16</v>
      </c>
      <c r="E155" s="1" t="b">
        <v>0</v>
      </c>
      <c r="F155" s="1">
        <v>5</v>
      </c>
      <c r="G155" s="1">
        <v>2</v>
      </c>
      <c r="H155" s="1">
        <v>0.2</v>
      </c>
      <c r="I155" s="1" t="str">
        <f>IF(Table1[[#This Row],[weekday]]&gt;=6,"weekend","weekday")</f>
        <v>weekday</v>
      </c>
      <c r="J155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155" s="1" t="str">
        <f>IF(Table1[[#This Row],[hr]]&lt;12,"Morning",IF(Table1[[#This Row],[hr]]&lt;17,"Afternoon",IF(Table1[[#This Row],[hr]]&lt;21,"Evening","Night")))</f>
        <v>Afternoon</v>
      </c>
    </row>
    <row r="156" spans="1:11" x14ac:dyDescent="0.2">
      <c r="A156" s="1">
        <v>155</v>
      </c>
      <c r="B156" s="3">
        <v>40550</v>
      </c>
      <c r="C156" s="1">
        <v>1</v>
      </c>
      <c r="D156" s="1">
        <v>17</v>
      </c>
      <c r="E156" s="1" t="b">
        <v>0</v>
      </c>
      <c r="F156" s="1">
        <v>5</v>
      </c>
      <c r="G156" s="1">
        <v>2</v>
      </c>
      <c r="H156" s="1">
        <v>0.2</v>
      </c>
      <c r="I156" s="1" t="str">
        <f>IF(Table1[[#This Row],[weekday]]&gt;=6,"weekend","weekday")</f>
        <v>weekday</v>
      </c>
      <c r="J156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156" s="1" t="str">
        <f>IF(Table1[[#This Row],[hr]]&lt;12,"Morning",IF(Table1[[#This Row],[hr]]&lt;17,"Afternoon",IF(Table1[[#This Row],[hr]]&lt;21,"Evening","Night")))</f>
        <v>Evening</v>
      </c>
    </row>
    <row r="157" spans="1:11" x14ac:dyDescent="0.2">
      <c r="A157" s="1">
        <v>156</v>
      </c>
      <c r="B157" s="3">
        <v>40550</v>
      </c>
      <c r="C157" s="1">
        <v>1</v>
      </c>
      <c r="D157" s="1">
        <v>18</v>
      </c>
      <c r="E157" s="1" t="b">
        <v>0</v>
      </c>
      <c r="F157" s="1">
        <v>5</v>
      </c>
      <c r="G157" s="1">
        <v>1</v>
      </c>
      <c r="H157" s="1">
        <v>0.2</v>
      </c>
      <c r="I157" s="1" t="str">
        <f>IF(Table1[[#This Row],[weekday]]&gt;=6,"weekend","weekday")</f>
        <v>weekday</v>
      </c>
      <c r="J157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157" s="1" t="str">
        <f>IF(Table1[[#This Row],[hr]]&lt;12,"Morning",IF(Table1[[#This Row],[hr]]&lt;17,"Afternoon",IF(Table1[[#This Row],[hr]]&lt;21,"Evening","Night")))</f>
        <v>Evening</v>
      </c>
    </row>
    <row r="158" spans="1:11" x14ac:dyDescent="0.2">
      <c r="A158" s="1">
        <v>157</v>
      </c>
      <c r="B158" s="3">
        <v>40550</v>
      </c>
      <c r="C158" s="1">
        <v>1</v>
      </c>
      <c r="D158" s="1">
        <v>19</v>
      </c>
      <c r="E158" s="1" t="b">
        <v>0</v>
      </c>
      <c r="F158" s="1">
        <v>5</v>
      </c>
      <c r="G158" s="1">
        <v>1</v>
      </c>
      <c r="H158" s="1">
        <v>0.16</v>
      </c>
      <c r="I158" s="1" t="str">
        <f>IF(Table1[[#This Row],[weekday]]&gt;=6,"weekend","weekday")</f>
        <v>weekday</v>
      </c>
      <c r="J158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158" s="1" t="str">
        <f>IF(Table1[[#This Row],[hr]]&lt;12,"Morning",IF(Table1[[#This Row],[hr]]&lt;17,"Afternoon",IF(Table1[[#This Row],[hr]]&lt;21,"Evening","Night")))</f>
        <v>Evening</v>
      </c>
    </row>
    <row r="159" spans="1:11" x14ac:dyDescent="0.2">
      <c r="A159" s="1">
        <v>158</v>
      </c>
      <c r="B159" s="3">
        <v>40550</v>
      </c>
      <c r="C159" s="1">
        <v>1</v>
      </c>
      <c r="D159" s="1">
        <v>20</v>
      </c>
      <c r="E159" s="1" t="b">
        <v>0</v>
      </c>
      <c r="F159" s="1">
        <v>5</v>
      </c>
      <c r="G159" s="1">
        <v>1</v>
      </c>
      <c r="H159" s="1">
        <v>0.18</v>
      </c>
      <c r="I159" s="1" t="str">
        <f>IF(Table1[[#This Row],[weekday]]&gt;=6,"weekend","weekday")</f>
        <v>weekday</v>
      </c>
      <c r="J159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159" s="1" t="str">
        <f>IF(Table1[[#This Row],[hr]]&lt;12,"Morning",IF(Table1[[#This Row],[hr]]&lt;17,"Afternoon",IF(Table1[[#This Row],[hr]]&lt;21,"Evening","Night")))</f>
        <v>Evening</v>
      </c>
    </row>
    <row r="160" spans="1:11" x14ac:dyDescent="0.2">
      <c r="A160" s="1">
        <v>159</v>
      </c>
      <c r="B160" s="3">
        <v>40550</v>
      </c>
      <c r="C160" s="1">
        <v>1</v>
      </c>
      <c r="D160" s="1">
        <v>21</v>
      </c>
      <c r="E160" s="1" t="b">
        <v>0</v>
      </c>
      <c r="F160" s="1">
        <v>5</v>
      </c>
      <c r="G160" s="1">
        <v>1</v>
      </c>
      <c r="H160" s="1">
        <v>0.18</v>
      </c>
      <c r="I160" s="1" t="str">
        <f>IF(Table1[[#This Row],[weekday]]&gt;=6,"weekend","weekday")</f>
        <v>weekday</v>
      </c>
      <c r="J160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160" s="1" t="str">
        <f>IF(Table1[[#This Row],[hr]]&lt;12,"Morning",IF(Table1[[#This Row],[hr]]&lt;17,"Afternoon",IF(Table1[[#This Row],[hr]]&lt;21,"Evening","Night")))</f>
        <v>Night</v>
      </c>
    </row>
    <row r="161" spans="1:11" x14ac:dyDescent="0.2">
      <c r="A161" s="1">
        <v>160</v>
      </c>
      <c r="B161" s="3">
        <v>40550</v>
      </c>
      <c r="C161" s="1">
        <v>1</v>
      </c>
      <c r="D161" s="1">
        <v>22</v>
      </c>
      <c r="E161" s="1" t="b">
        <v>0</v>
      </c>
      <c r="F161" s="1">
        <v>5</v>
      </c>
      <c r="G161" s="1">
        <v>2</v>
      </c>
      <c r="H161" s="1">
        <v>0.18</v>
      </c>
      <c r="I161" s="1" t="str">
        <f>IF(Table1[[#This Row],[weekday]]&gt;=6,"weekend","weekday")</f>
        <v>weekday</v>
      </c>
      <c r="J161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161" s="1" t="str">
        <f>IF(Table1[[#This Row],[hr]]&lt;12,"Morning",IF(Table1[[#This Row],[hr]]&lt;17,"Afternoon",IF(Table1[[#This Row],[hr]]&lt;21,"Evening","Night")))</f>
        <v>Night</v>
      </c>
    </row>
    <row r="162" spans="1:11" x14ac:dyDescent="0.2">
      <c r="A162" s="1">
        <v>161</v>
      </c>
      <c r="B162" s="3">
        <v>40550</v>
      </c>
      <c r="C162" s="1">
        <v>1</v>
      </c>
      <c r="D162" s="1">
        <v>23</v>
      </c>
      <c r="E162" s="1" t="b">
        <v>0</v>
      </c>
      <c r="F162" s="1">
        <v>5</v>
      </c>
      <c r="G162" s="1">
        <v>2</v>
      </c>
      <c r="H162" s="1">
        <v>0.18</v>
      </c>
      <c r="I162" s="1" t="str">
        <f>IF(Table1[[#This Row],[weekday]]&gt;=6,"weekend","weekday")</f>
        <v>weekday</v>
      </c>
      <c r="J162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162" s="1" t="str">
        <f>IF(Table1[[#This Row],[hr]]&lt;12,"Morning",IF(Table1[[#This Row],[hr]]&lt;17,"Afternoon",IF(Table1[[#This Row],[hr]]&lt;21,"Evening","Night")))</f>
        <v>Night</v>
      </c>
    </row>
    <row r="163" spans="1:11" x14ac:dyDescent="0.2">
      <c r="A163" s="1">
        <v>162</v>
      </c>
      <c r="B163" s="3">
        <v>40551</v>
      </c>
      <c r="C163" s="1">
        <v>1</v>
      </c>
      <c r="D163" s="1">
        <v>0</v>
      </c>
      <c r="E163" s="1" t="b">
        <v>0</v>
      </c>
      <c r="F163" s="1">
        <v>6</v>
      </c>
      <c r="G163" s="1">
        <v>2</v>
      </c>
      <c r="H163" s="1">
        <v>0.18</v>
      </c>
      <c r="I163" s="1" t="str">
        <f>IF(Table1[[#This Row],[weekday]]&gt;=6,"weekend","weekday")</f>
        <v>weekend</v>
      </c>
      <c r="J163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163" s="1" t="str">
        <f>IF(Table1[[#This Row],[hr]]&lt;12,"Morning",IF(Table1[[#This Row],[hr]]&lt;17,"Afternoon",IF(Table1[[#This Row],[hr]]&lt;21,"Evening","Night")))</f>
        <v>Morning</v>
      </c>
    </row>
    <row r="164" spans="1:11" x14ac:dyDescent="0.2">
      <c r="A164" s="1">
        <v>163</v>
      </c>
      <c r="B164" s="3">
        <v>40551</v>
      </c>
      <c r="C164" s="1">
        <v>1</v>
      </c>
      <c r="D164" s="1">
        <v>1</v>
      </c>
      <c r="E164" s="1" t="b">
        <v>0</v>
      </c>
      <c r="F164" s="1">
        <v>6</v>
      </c>
      <c r="G164" s="1">
        <v>2</v>
      </c>
      <c r="H164" s="1">
        <v>0.18</v>
      </c>
      <c r="I164" s="1" t="str">
        <f>IF(Table1[[#This Row],[weekday]]&gt;=6,"weekend","weekday")</f>
        <v>weekend</v>
      </c>
      <c r="J164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164" s="1" t="str">
        <f>IF(Table1[[#This Row],[hr]]&lt;12,"Morning",IF(Table1[[#This Row],[hr]]&lt;17,"Afternoon",IF(Table1[[#This Row],[hr]]&lt;21,"Evening","Night")))</f>
        <v>Morning</v>
      </c>
    </row>
    <row r="165" spans="1:11" x14ac:dyDescent="0.2">
      <c r="A165" s="1">
        <v>164</v>
      </c>
      <c r="B165" s="3">
        <v>40551</v>
      </c>
      <c r="C165" s="1">
        <v>1</v>
      </c>
      <c r="D165" s="1">
        <v>2</v>
      </c>
      <c r="E165" s="1" t="b">
        <v>0</v>
      </c>
      <c r="F165" s="1">
        <v>6</v>
      </c>
      <c r="G165" s="1">
        <v>2</v>
      </c>
      <c r="H165" s="1">
        <v>0.18</v>
      </c>
      <c r="I165" s="1" t="str">
        <f>IF(Table1[[#This Row],[weekday]]&gt;=6,"weekend","weekday")</f>
        <v>weekend</v>
      </c>
      <c r="J165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165" s="1" t="str">
        <f>IF(Table1[[#This Row],[hr]]&lt;12,"Morning",IF(Table1[[#This Row],[hr]]&lt;17,"Afternoon",IF(Table1[[#This Row],[hr]]&lt;21,"Evening","Night")))</f>
        <v>Morning</v>
      </c>
    </row>
    <row r="166" spans="1:11" x14ac:dyDescent="0.2">
      <c r="A166" s="1">
        <v>165</v>
      </c>
      <c r="B166" s="3">
        <v>40551</v>
      </c>
      <c r="C166" s="1">
        <v>1</v>
      </c>
      <c r="D166" s="1">
        <v>3</v>
      </c>
      <c r="E166" s="1" t="b">
        <v>0</v>
      </c>
      <c r="F166" s="1">
        <v>6</v>
      </c>
      <c r="G166" s="1">
        <v>3</v>
      </c>
      <c r="H166" s="1">
        <v>0.18</v>
      </c>
      <c r="I166" s="1" t="str">
        <f>IF(Table1[[#This Row],[weekday]]&gt;=6,"weekend","weekday")</f>
        <v>weekend</v>
      </c>
      <c r="J166" s="1" t="str">
        <f>IF(Table1[[#This Row],[weathersit]]=1,"clear sky",IF(Table1[[#This Row],[weathersit]]=2,"Little cloudy",IF(Table1[[#This Row],[weathersit]]=3,"Little Rain",IF(Table1[[#This Row],[weathersit]]=4,"Heavy Rainfoll"," "))))</f>
        <v>Little Rain</v>
      </c>
      <c r="K166" s="1" t="str">
        <f>IF(Table1[[#This Row],[hr]]&lt;12,"Morning",IF(Table1[[#This Row],[hr]]&lt;17,"Afternoon",IF(Table1[[#This Row],[hr]]&lt;21,"Evening","Night")))</f>
        <v>Morning</v>
      </c>
    </row>
    <row r="167" spans="1:11" x14ac:dyDescent="0.2">
      <c r="A167" s="1">
        <v>166</v>
      </c>
      <c r="B167" s="3">
        <v>40551</v>
      </c>
      <c r="C167" s="1">
        <v>1</v>
      </c>
      <c r="D167" s="1">
        <v>4</v>
      </c>
      <c r="E167" s="1" t="b">
        <v>0</v>
      </c>
      <c r="F167" s="1">
        <v>6</v>
      </c>
      <c r="G167" s="1">
        <v>3</v>
      </c>
      <c r="H167" s="1">
        <v>0.18</v>
      </c>
      <c r="I167" s="1" t="str">
        <f>IF(Table1[[#This Row],[weekday]]&gt;=6,"weekend","weekday")</f>
        <v>weekend</v>
      </c>
      <c r="J167" s="1" t="str">
        <f>IF(Table1[[#This Row],[weathersit]]=1,"clear sky",IF(Table1[[#This Row],[weathersit]]=2,"Little cloudy",IF(Table1[[#This Row],[weathersit]]=3,"Little Rain",IF(Table1[[#This Row],[weathersit]]=4,"Heavy Rainfoll"," "))))</f>
        <v>Little Rain</v>
      </c>
      <c r="K167" s="1" t="str">
        <f>IF(Table1[[#This Row],[hr]]&lt;12,"Morning",IF(Table1[[#This Row],[hr]]&lt;17,"Afternoon",IF(Table1[[#This Row],[hr]]&lt;21,"Evening","Night")))</f>
        <v>Morning</v>
      </c>
    </row>
    <row r="168" spans="1:11" x14ac:dyDescent="0.2">
      <c r="A168" s="1">
        <v>167</v>
      </c>
      <c r="B168" s="3">
        <v>40551</v>
      </c>
      <c r="C168" s="1">
        <v>1</v>
      </c>
      <c r="D168" s="1">
        <v>5</v>
      </c>
      <c r="E168" s="1" t="b">
        <v>0</v>
      </c>
      <c r="F168" s="1">
        <v>6</v>
      </c>
      <c r="G168" s="1">
        <v>2</v>
      </c>
      <c r="H168" s="1">
        <v>0.16</v>
      </c>
      <c r="I168" s="1" t="str">
        <f>IF(Table1[[#This Row],[weekday]]&gt;=6,"weekend","weekday")</f>
        <v>weekend</v>
      </c>
      <c r="J168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168" s="1" t="str">
        <f>IF(Table1[[#This Row],[hr]]&lt;12,"Morning",IF(Table1[[#This Row],[hr]]&lt;17,"Afternoon",IF(Table1[[#This Row],[hr]]&lt;21,"Evening","Night")))</f>
        <v>Morning</v>
      </c>
    </row>
    <row r="169" spans="1:11" x14ac:dyDescent="0.2">
      <c r="A169" s="1">
        <v>168</v>
      </c>
      <c r="B169" s="3">
        <v>40551</v>
      </c>
      <c r="C169" s="1">
        <v>1</v>
      </c>
      <c r="D169" s="1">
        <v>6</v>
      </c>
      <c r="E169" s="1" t="b">
        <v>0</v>
      </c>
      <c r="F169" s="1">
        <v>6</v>
      </c>
      <c r="G169" s="1">
        <v>2</v>
      </c>
      <c r="H169" s="1">
        <v>0.16</v>
      </c>
      <c r="I169" s="1" t="str">
        <f>IF(Table1[[#This Row],[weekday]]&gt;=6,"weekend","weekday")</f>
        <v>weekend</v>
      </c>
      <c r="J169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169" s="1" t="str">
        <f>IF(Table1[[#This Row],[hr]]&lt;12,"Morning",IF(Table1[[#This Row],[hr]]&lt;17,"Afternoon",IF(Table1[[#This Row],[hr]]&lt;21,"Evening","Night")))</f>
        <v>Morning</v>
      </c>
    </row>
    <row r="170" spans="1:11" x14ac:dyDescent="0.2">
      <c r="A170" s="1">
        <v>169</v>
      </c>
      <c r="B170" s="3">
        <v>40551</v>
      </c>
      <c r="C170" s="1">
        <v>1</v>
      </c>
      <c r="D170" s="1">
        <v>7</v>
      </c>
      <c r="E170" s="1" t="b">
        <v>0</v>
      </c>
      <c r="F170" s="1">
        <v>6</v>
      </c>
      <c r="G170" s="1">
        <v>2</v>
      </c>
      <c r="H170" s="1">
        <v>0.16</v>
      </c>
      <c r="I170" s="1" t="str">
        <f>IF(Table1[[#This Row],[weekday]]&gt;=6,"weekend","weekday")</f>
        <v>weekend</v>
      </c>
      <c r="J170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170" s="1" t="str">
        <f>IF(Table1[[#This Row],[hr]]&lt;12,"Morning",IF(Table1[[#This Row],[hr]]&lt;17,"Afternoon",IF(Table1[[#This Row],[hr]]&lt;21,"Evening","Night")))</f>
        <v>Morning</v>
      </c>
    </row>
    <row r="171" spans="1:11" x14ac:dyDescent="0.2">
      <c r="A171" s="1">
        <v>170</v>
      </c>
      <c r="B171" s="3">
        <v>40551</v>
      </c>
      <c r="C171" s="1">
        <v>1</v>
      </c>
      <c r="D171" s="1">
        <v>8</v>
      </c>
      <c r="E171" s="1" t="b">
        <v>0</v>
      </c>
      <c r="F171" s="1">
        <v>6</v>
      </c>
      <c r="G171" s="1">
        <v>3</v>
      </c>
      <c r="H171" s="1">
        <v>0.16</v>
      </c>
      <c r="I171" s="1" t="str">
        <f>IF(Table1[[#This Row],[weekday]]&gt;=6,"weekend","weekday")</f>
        <v>weekend</v>
      </c>
      <c r="J171" s="1" t="str">
        <f>IF(Table1[[#This Row],[weathersit]]=1,"clear sky",IF(Table1[[#This Row],[weathersit]]=2,"Little cloudy",IF(Table1[[#This Row],[weathersit]]=3,"Little Rain",IF(Table1[[#This Row],[weathersit]]=4,"Heavy Rainfoll"," "))))</f>
        <v>Little Rain</v>
      </c>
      <c r="K171" s="1" t="str">
        <f>IF(Table1[[#This Row],[hr]]&lt;12,"Morning",IF(Table1[[#This Row],[hr]]&lt;17,"Afternoon",IF(Table1[[#This Row],[hr]]&lt;21,"Evening","Night")))</f>
        <v>Morning</v>
      </c>
    </row>
    <row r="172" spans="1:11" x14ac:dyDescent="0.2">
      <c r="A172" s="1">
        <v>171</v>
      </c>
      <c r="B172" s="3">
        <v>40551</v>
      </c>
      <c r="C172" s="1">
        <v>1</v>
      </c>
      <c r="D172" s="1">
        <v>9</v>
      </c>
      <c r="E172" s="1" t="b">
        <v>0</v>
      </c>
      <c r="F172" s="1">
        <v>6</v>
      </c>
      <c r="G172" s="1">
        <v>3</v>
      </c>
      <c r="H172" s="1">
        <v>0.16</v>
      </c>
      <c r="I172" s="1" t="str">
        <f>IF(Table1[[#This Row],[weekday]]&gt;=6,"weekend","weekday")</f>
        <v>weekend</v>
      </c>
      <c r="J172" s="1" t="str">
        <f>IF(Table1[[#This Row],[weathersit]]=1,"clear sky",IF(Table1[[#This Row],[weathersit]]=2,"Little cloudy",IF(Table1[[#This Row],[weathersit]]=3,"Little Rain",IF(Table1[[#This Row],[weathersit]]=4,"Heavy Rainfoll"," "))))</f>
        <v>Little Rain</v>
      </c>
      <c r="K172" s="1" t="str">
        <f>IF(Table1[[#This Row],[hr]]&lt;12,"Morning",IF(Table1[[#This Row],[hr]]&lt;17,"Afternoon",IF(Table1[[#This Row],[hr]]&lt;21,"Evening","Night")))</f>
        <v>Morning</v>
      </c>
    </row>
    <row r="173" spans="1:11" x14ac:dyDescent="0.2">
      <c r="A173" s="1">
        <v>172</v>
      </c>
      <c r="B173" s="3">
        <v>40551</v>
      </c>
      <c r="C173" s="1">
        <v>1</v>
      </c>
      <c r="D173" s="1">
        <v>10</v>
      </c>
      <c r="E173" s="1" t="b">
        <v>0</v>
      </c>
      <c r="F173" s="1">
        <v>6</v>
      </c>
      <c r="G173" s="1">
        <v>2</v>
      </c>
      <c r="H173" s="1">
        <v>0.18</v>
      </c>
      <c r="I173" s="1" t="str">
        <f>IF(Table1[[#This Row],[weekday]]&gt;=6,"weekend","weekday")</f>
        <v>weekend</v>
      </c>
      <c r="J173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173" s="1" t="str">
        <f>IF(Table1[[#This Row],[hr]]&lt;12,"Morning",IF(Table1[[#This Row],[hr]]&lt;17,"Afternoon",IF(Table1[[#This Row],[hr]]&lt;21,"Evening","Night")))</f>
        <v>Morning</v>
      </c>
    </row>
    <row r="174" spans="1:11" x14ac:dyDescent="0.2">
      <c r="A174" s="1">
        <v>173</v>
      </c>
      <c r="B174" s="3">
        <v>40551</v>
      </c>
      <c r="C174" s="1">
        <v>1</v>
      </c>
      <c r="D174" s="1">
        <v>11</v>
      </c>
      <c r="E174" s="1" t="b">
        <v>0</v>
      </c>
      <c r="F174" s="1">
        <v>6</v>
      </c>
      <c r="G174" s="1">
        <v>2</v>
      </c>
      <c r="H174" s="1">
        <v>0.2</v>
      </c>
      <c r="I174" s="1" t="str">
        <f>IF(Table1[[#This Row],[weekday]]&gt;=6,"weekend","weekday")</f>
        <v>weekend</v>
      </c>
      <c r="J174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174" s="1" t="str">
        <f>IF(Table1[[#This Row],[hr]]&lt;12,"Morning",IF(Table1[[#This Row],[hr]]&lt;17,"Afternoon",IF(Table1[[#This Row],[hr]]&lt;21,"Evening","Night")))</f>
        <v>Morning</v>
      </c>
    </row>
    <row r="175" spans="1:11" x14ac:dyDescent="0.2">
      <c r="A175" s="1">
        <v>174</v>
      </c>
      <c r="B175" s="3">
        <v>40551</v>
      </c>
      <c r="C175" s="1">
        <v>1</v>
      </c>
      <c r="D175" s="1">
        <v>12</v>
      </c>
      <c r="E175" s="1" t="b">
        <v>0</v>
      </c>
      <c r="F175" s="1">
        <v>6</v>
      </c>
      <c r="G175" s="1">
        <v>2</v>
      </c>
      <c r="H175" s="1">
        <v>0.2</v>
      </c>
      <c r="I175" s="1" t="str">
        <f>IF(Table1[[#This Row],[weekday]]&gt;=6,"weekend","weekday")</f>
        <v>weekend</v>
      </c>
      <c r="J175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175" s="1" t="str">
        <f>IF(Table1[[#This Row],[hr]]&lt;12,"Morning",IF(Table1[[#This Row],[hr]]&lt;17,"Afternoon",IF(Table1[[#This Row],[hr]]&lt;21,"Evening","Night")))</f>
        <v>Afternoon</v>
      </c>
    </row>
    <row r="176" spans="1:11" x14ac:dyDescent="0.2">
      <c r="A176" s="1">
        <v>175</v>
      </c>
      <c r="B176" s="3">
        <v>40551</v>
      </c>
      <c r="C176" s="1">
        <v>1</v>
      </c>
      <c r="D176" s="1">
        <v>13</v>
      </c>
      <c r="E176" s="1" t="b">
        <v>0</v>
      </c>
      <c r="F176" s="1">
        <v>6</v>
      </c>
      <c r="G176" s="1">
        <v>1</v>
      </c>
      <c r="H176" s="1">
        <v>0.2</v>
      </c>
      <c r="I176" s="1" t="str">
        <f>IF(Table1[[#This Row],[weekday]]&gt;=6,"weekend","weekday")</f>
        <v>weekend</v>
      </c>
      <c r="J176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176" s="1" t="str">
        <f>IF(Table1[[#This Row],[hr]]&lt;12,"Morning",IF(Table1[[#This Row],[hr]]&lt;17,"Afternoon",IF(Table1[[#This Row],[hr]]&lt;21,"Evening","Night")))</f>
        <v>Afternoon</v>
      </c>
    </row>
    <row r="177" spans="1:11" x14ac:dyDescent="0.2">
      <c r="A177" s="1">
        <v>176</v>
      </c>
      <c r="B177" s="3">
        <v>40551</v>
      </c>
      <c r="C177" s="1">
        <v>1</v>
      </c>
      <c r="D177" s="1">
        <v>14</v>
      </c>
      <c r="E177" s="1" t="b">
        <v>0</v>
      </c>
      <c r="F177" s="1">
        <v>6</v>
      </c>
      <c r="G177" s="1">
        <v>1</v>
      </c>
      <c r="H177" s="1">
        <v>0.2</v>
      </c>
      <c r="I177" s="1" t="str">
        <f>IF(Table1[[#This Row],[weekday]]&gt;=6,"weekend","weekday")</f>
        <v>weekend</v>
      </c>
      <c r="J177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177" s="1" t="str">
        <f>IF(Table1[[#This Row],[hr]]&lt;12,"Morning",IF(Table1[[#This Row],[hr]]&lt;17,"Afternoon",IF(Table1[[#This Row],[hr]]&lt;21,"Evening","Night")))</f>
        <v>Afternoon</v>
      </c>
    </row>
    <row r="178" spans="1:11" x14ac:dyDescent="0.2">
      <c r="A178" s="1">
        <v>177</v>
      </c>
      <c r="B178" s="3">
        <v>40551</v>
      </c>
      <c r="C178" s="1">
        <v>1</v>
      </c>
      <c r="D178" s="1">
        <v>15</v>
      </c>
      <c r="E178" s="1" t="b">
        <v>0</v>
      </c>
      <c r="F178" s="1">
        <v>6</v>
      </c>
      <c r="G178" s="1">
        <v>1</v>
      </c>
      <c r="H178" s="1">
        <v>0.2</v>
      </c>
      <c r="I178" s="1" t="str">
        <f>IF(Table1[[#This Row],[weekday]]&gt;=6,"weekend","weekday")</f>
        <v>weekend</v>
      </c>
      <c r="J178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178" s="1" t="str">
        <f>IF(Table1[[#This Row],[hr]]&lt;12,"Morning",IF(Table1[[#This Row],[hr]]&lt;17,"Afternoon",IF(Table1[[#This Row],[hr]]&lt;21,"Evening","Night")))</f>
        <v>Afternoon</v>
      </c>
    </row>
    <row r="179" spans="1:11" x14ac:dyDescent="0.2">
      <c r="A179" s="1">
        <v>178</v>
      </c>
      <c r="B179" s="3">
        <v>40551</v>
      </c>
      <c r="C179" s="1">
        <v>1</v>
      </c>
      <c r="D179" s="1">
        <v>16</v>
      </c>
      <c r="E179" s="1" t="b">
        <v>0</v>
      </c>
      <c r="F179" s="1">
        <v>6</v>
      </c>
      <c r="G179" s="1">
        <v>1</v>
      </c>
      <c r="H179" s="1">
        <v>0.18</v>
      </c>
      <c r="I179" s="1" t="str">
        <f>IF(Table1[[#This Row],[weekday]]&gt;=6,"weekend","weekday")</f>
        <v>weekend</v>
      </c>
      <c r="J179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179" s="1" t="str">
        <f>IF(Table1[[#This Row],[hr]]&lt;12,"Morning",IF(Table1[[#This Row],[hr]]&lt;17,"Afternoon",IF(Table1[[#This Row],[hr]]&lt;21,"Evening","Night")))</f>
        <v>Afternoon</v>
      </c>
    </row>
    <row r="180" spans="1:11" x14ac:dyDescent="0.2">
      <c r="A180" s="1">
        <v>179</v>
      </c>
      <c r="B180" s="3">
        <v>40551</v>
      </c>
      <c r="C180" s="1">
        <v>1</v>
      </c>
      <c r="D180" s="1">
        <v>17</v>
      </c>
      <c r="E180" s="1" t="b">
        <v>0</v>
      </c>
      <c r="F180" s="1">
        <v>6</v>
      </c>
      <c r="G180" s="1">
        <v>1</v>
      </c>
      <c r="H180" s="1">
        <v>0.16</v>
      </c>
      <c r="I180" s="1" t="str">
        <f>IF(Table1[[#This Row],[weekday]]&gt;=6,"weekend","weekday")</f>
        <v>weekend</v>
      </c>
      <c r="J180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180" s="1" t="str">
        <f>IF(Table1[[#This Row],[hr]]&lt;12,"Morning",IF(Table1[[#This Row],[hr]]&lt;17,"Afternoon",IF(Table1[[#This Row],[hr]]&lt;21,"Evening","Night")))</f>
        <v>Evening</v>
      </c>
    </row>
    <row r="181" spans="1:11" x14ac:dyDescent="0.2">
      <c r="A181" s="1">
        <v>180</v>
      </c>
      <c r="B181" s="3">
        <v>40551</v>
      </c>
      <c r="C181" s="1">
        <v>1</v>
      </c>
      <c r="D181" s="1">
        <v>18</v>
      </c>
      <c r="E181" s="1" t="b">
        <v>0</v>
      </c>
      <c r="F181" s="1">
        <v>6</v>
      </c>
      <c r="G181" s="1">
        <v>1</v>
      </c>
      <c r="H181" s="1">
        <v>0.14000000000000001</v>
      </c>
      <c r="I181" s="1" t="str">
        <f>IF(Table1[[#This Row],[weekday]]&gt;=6,"weekend","weekday")</f>
        <v>weekend</v>
      </c>
      <c r="J181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181" s="1" t="str">
        <f>IF(Table1[[#This Row],[hr]]&lt;12,"Morning",IF(Table1[[#This Row],[hr]]&lt;17,"Afternoon",IF(Table1[[#This Row],[hr]]&lt;21,"Evening","Night")))</f>
        <v>Evening</v>
      </c>
    </row>
    <row r="182" spans="1:11" x14ac:dyDescent="0.2">
      <c r="A182" s="1">
        <v>181</v>
      </c>
      <c r="B182" s="3">
        <v>40551</v>
      </c>
      <c r="C182" s="1">
        <v>1</v>
      </c>
      <c r="D182" s="1">
        <v>19</v>
      </c>
      <c r="E182" s="1" t="b">
        <v>0</v>
      </c>
      <c r="F182" s="1">
        <v>6</v>
      </c>
      <c r="G182" s="1">
        <v>1</v>
      </c>
      <c r="H182" s="1">
        <v>0.14000000000000001</v>
      </c>
      <c r="I182" s="1" t="str">
        <f>IF(Table1[[#This Row],[weekday]]&gt;=6,"weekend","weekday")</f>
        <v>weekend</v>
      </c>
      <c r="J182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182" s="1" t="str">
        <f>IF(Table1[[#This Row],[hr]]&lt;12,"Morning",IF(Table1[[#This Row],[hr]]&lt;17,"Afternoon",IF(Table1[[#This Row],[hr]]&lt;21,"Evening","Night")))</f>
        <v>Evening</v>
      </c>
    </row>
    <row r="183" spans="1:11" x14ac:dyDescent="0.2">
      <c r="A183" s="1">
        <v>182</v>
      </c>
      <c r="B183" s="3">
        <v>40551</v>
      </c>
      <c r="C183" s="1">
        <v>1</v>
      </c>
      <c r="D183" s="1">
        <v>20</v>
      </c>
      <c r="E183" s="1" t="b">
        <v>0</v>
      </c>
      <c r="F183" s="1">
        <v>6</v>
      </c>
      <c r="G183" s="1">
        <v>1</v>
      </c>
      <c r="H183" s="1">
        <v>0.12</v>
      </c>
      <c r="I183" s="1" t="str">
        <f>IF(Table1[[#This Row],[weekday]]&gt;=6,"weekend","weekday")</f>
        <v>weekend</v>
      </c>
      <c r="J183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183" s="1" t="str">
        <f>IF(Table1[[#This Row],[hr]]&lt;12,"Morning",IF(Table1[[#This Row],[hr]]&lt;17,"Afternoon",IF(Table1[[#This Row],[hr]]&lt;21,"Evening","Night")))</f>
        <v>Evening</v>
      </c>
    </row>
    <row r="184" spans="1:11" x14ac:dyDescent="0.2">
      <c r="A184" s="1">
        <v>183</v>
      </c>
      <c r="B184" s="3">
        <v>40551</v>
      </c>
      <c r="C184" s="1">
        <v>1</v>
      </c>
      <c r="D184" s="1">
        <v>21</v>
      </c>
      <c r="E184" s="1" t="b">
        <v>0</v>
      </c>
      <c r="F184" s="1">
        <v>6</v>
      </c>
      <c r="G184" s="1">
        <v>1</v>
      </c>
      <c r="H184" s="1">
        <v>0.12</v>
      </c>
      <c r="I184" s="1" t="str">
        <f>IF(Table1[[#This Row],[weekday]]&gt;=6,"weekend","weekday")</f>
        <v>weekend</v>
      </c>
      <c r="J184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184" s="1" t="str">
        <f>IF(Table1[[#This Row],[hr]]&lt;12,"Morning",IF(Table1[[#This Row],[hr]]&lt;17,"Afternoon",IF(Table1[[#This Row],[hr]]&lt;21,"Evening","Night")))</f>
        <v>Night</v>
      </c>
    </row>
    <row r="185" spans="1:11" x14ac:dyDescent="0.2">
      <c r="A185" s="1">
        <v>184</v>
      </c>
      <c r="B185" s="3">
        <v>40551</v>
      </c>
      <c r="C185" s="1">
        <v>1</v>
      </c>
      <c r="D185" s="1">
        <v>22</v>
      </c>
      <c r="E185" s="1" t="b">
        <v>0</v>
      </c>
      <c r="F185" s="1">
        <v>6</v>
      </c>
      <c r="G185" s="1">
        <v>1</v>
      </c>
      <c r="H185" s="1">
        <v>0.12</v>
      </c>
      <c r="I185" s="1" t="str">
        <f>IF(Table1[[#This Row],[weekday]]&gt;=6,"weekend","weekday")</f>
        <v>weekend</v>
      </c>
      <c r="J185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185" s="1" t="str">
        <f>IF(Table1[[#This Row],[hr]]&lt;12,"Morning",IF(Table1[[#This Row],[hr]]&lt;17,"Afternoon",IF(Table1[[#This Row],[hr]]&lt;21,"Evening","Night")))</f>
        <v>Night</v>
      </c>
    </row>
    <row r="186" spans="1:11" x14ac:dyDescent="0.2">
      <c r="A186" s="1">
        <v>185</v>
      </c>
      <c r="B186" s="3">
        <v>40551</v>
      </c>
      <c r="C186" s="1">
        <v>1</v>
      </c>
      <c r="D186" s="1">
        <v>23</v>
      </c>
      <c r="E186" s="1" t="b">
        <v>0</v>
      </c>
      <c r="F186" s="1">
        <v>6</v>
      </c>
      <c r="G186" s="1">
        <v>1</v>
      </c>
      <c r="H186" s="1">
        <v>0.1</v>
      </c>
      <c r="I186" s="1" t="str">
        <f>IF(Table1[[#This Row],[weekday]]&gt;=6,"weekend","weekday")</f>
        <v>weekend</v>
      </c>
      <c r="J186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186" s="1" t="str">
        <f>IF(Table1[[#This Row],[hr]]&lt;12,"Morning",IF(Table1[[#This Row],[hr]]&lt;17,"Afternoon",IF(Table1[[#This Row],[hr]]&lt;21,"Evening","Night")))</f>
        <v>Night</v>
      </c>
    </row>
    <row r="187" spans="1:11" x14ac:dyDescent="0.2">
      <c r="A187" s="1">
        <v>186</v>
      </c>
      <c r="B187" s="3">
        <v>40552</v>
      </c>
      <c r="C187" s="1">
        <v>1</v>
      </c>
      <c r="D187" s="1">
        <v>0</v>
      </c>
      <c r="E187" s="1" t="b">
        <v>0</v>
      </c>
      <c r="F187" s="1">
        <v>0</v>
      </c>
      <c r="G187" s="1">
        <v>1</v>
      </c>
      <c r="H187" s="1">
        <v>0.1</v>
      </c>
      <c r="I187" s="1" t="str">
        <f>IF(Table1[[#This Row],[weekday]]&gt;=6,"weekend","weekday")</f>
        <v>weekday</v>
      </c>
      <c r="J187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187" s="1" t="str">
        <f>IF(Table1[[#This Row],[hr]]&lt;12,"Morning",IF(Table1[[#This Row],[hr]]&lt;17,"Afternoon",IF(Table1[[#This Row],[hr]]&lt;21,"Evening","Night")))</f>
        <v>Morning</v>
      </c>
    </row>
    <row r="188" spans="1:11" x14ac:dyDescent="0.2">
      <c r="A188" s="1">
        <v>187</v>
      </c>
      <c r="B188" s="3">
        <v>40552</v>
      </c>
      <c r="C188" s="1">
        <v>1</v>
      </c>
      <c r="D188" s="1">
        <v>1</v>
      </c>
      <c r="E188" s="1" t="b">
        <v>0</v>
      </c>
      <c r="F188" s="1">
        <v>0</v>
      </c>
      <c r="G188" s="1">
        <v>1</v>
      </c>
      <c r="H188" s="1">
        <v>0.1</v>
      </c>
      <c r="I188" s="1" t="str">
        <f>IF(Table1[[#This Row],[weekday]]&gt;=6,"weekend","weekday")</f>
        <v>weekday</v>
      </c>
      <c r="J188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188" s="1" t="str">
        <f>IF(Table1[[#This Row],[hr]]&lt;12,"Morning",IF(Table1[[#This Row],[hr]]&lt;17,"Afternoon",IF(Table1[[#This Row],[hr]]&lt;21,"Evening","Night")))</f>
        <v>Morning</v>
      </c>
    </row>
    <row r="189" spans="1:11" x14ac:dyDescent="0.2">
      <c r="A189" s="1">
        <v>188</v>
      </c>
      <c r="B189" s="3">
        <v>40552</v>
      </c>
      <c r="C189" s="1">
        <v>1</v>
      </c>
      <c r="D189" s="1">
        <v>2</v>
      </c>
      <c r="E189" s="1" t="b">
        <v>0</v>
      </c>
      <c r="F189" s="1">
        <v>0</v>
      </c>
      <c r="G189" s="1">
        <v>1</v>
      </c>
      <c r="H189" s="1">
        <v>0.1</v>
      </c>
      <c r="I189" s="1" t="str">
        <f>IF(Table1[[#This Row],[weekday]]&gt;=6,"weekend","weekday")</f>
        <v>weekday</v>
      </c>
      <c r="J189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189" s="1" t="str">
        <f>IF(Table1[[#This Row],[hr]]&lt;12,"Morning",IF(Table1[[#This Row],[hr]]&lt;17,"Afternoon",IF(Table1[[#This Row],[hr]]&lt;21,"Evening","Night")))</f>
        <v>Morning</v>
      </c>
    </row>
    <row r="190" spans="1:11" x14ac:dyDescent="0.2">
      <c r="A190" s="1">
        <v>189</v>
      </c>
      <c r="B190" s="3">
        <v>40552</v>
      </c>
      <c r="C190" s="1">
        <v>1</v>
      </c>
      <c r="D190" s="1">
        <v>3</v>
      </c>
      <c r="E190" s="1" t="b">
        <v>0</v>
      </c>
      <c r="F190" s="1">
        <v>0</v>
      </c>
      <c r="G190" s="1">
        <v>1</v>
      </c>
      <c r="H190" s="1">
        <v>0.1</v>
      </c>
      <c r="I190" s="1" t="str">
        <f>IF(Table1[[#This Row],[weekday]]&gt;=6,"weekend","weekday")</f>
        <v>weekday</v>
      </c>
      <c r="J190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190" s="1" t="str">
        <f>IF(Table1[[#This Row],[hr]]&lt;12,"Morning",IF(Table1[[#This Row],[hr]]&lt;17,"Afternoon",IF(Table1[[#This Row],[hr]]&lt;21,"Evening","Night")))</f>
        <v>Morning</v>
      </c>
    </row>
    <row r="191" spans="1:11" x14ac:dyDescent="0.2">
      <c r="A191" s="1">
        <v>190</v>
      </c>
      <c r="B191" s="3">
        <v>40552</v>
      </c>
      <c r="C191" s="1">
        <v>1</v>
      </c>
      <c r="D191" s="1">
        <v>4</v>
      </c>
      <c r="E191" s="1" t="b">
        <v>0</v>
      </c>
      <c r="F191" s="1">
        <v>0</v>
      </c>
      <c r="G191" s="1">
        <v>1</v>
      </c>
      <c r="H191" s="1">
        <v>0.08</v>
      </c>
      <c r="I191" s="1" t="str">
        <f>IF(Table1[[#This Row],[weekday]]&gt;=6,"weekend","weekday")</f>
        <v>weekday</v>
      </c>
      <c r="J191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191" s="1" t="str">
        <f>IF(Table1[[#This Row],[hr]]&lt;12,"Morning",IF(Table1[[#This Row],[hr]]&lt;17,"Afternoon",IF(Table1[[#This Row],[hr]]&lt;21,"Evening","Night")))</f>
        <v>Morning</v>
      </c>
    </row>
    <row r="192" spans="1:11" x14ac:dyDescent="0.2">
      <c r="A192" s="1">
        <v>191</v>
      </c>
      <c r="B192" s="3">
        <v>40552</v>
      </c>
      <c r="C192" s="1">
        <v>1</v>
      </c>
      <c r="D192" s="1">
        <v>5</v>
      </c>
      <c r="E192" s="1" t="b">
        <v>0</v>
      </c>
      <c r="F192" s="1">
        <v>0</v>
      </c>
      <c r="G192" s="1">
        <v>1</v>
      </c>
      <c r="H192" s="1">
        <v>0.08</v>
      </c>
      <c r="I192" s="1" t="str">
        <f>IF(Table1[[#This Row],[weekday]]&gt;=6,"weekend","weekday")</f>
        <v>weekday</v>
      </c>
      <c r="J192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192" s="1" t="str">
        <f>IF(Table1[[#This Row],[hr]]&lt;12,"Morning",IF(Table1[[#This Row],[hr]]&lt;17,"Afternoon",IF(Table1[[#This Row],[hr]]&lt;21,"Evening","Night")))</f>
        <v>Morning</v>
      </c>
    </row>
    <row r="193" spans="1:11" x14ac:dyDescent="0.2">
      <c r="A193" s="1">
        <v>192</v>
      </c>
      <c r="B193" s="3">
        <v>40552</v>
      </c>
      <c r="C193" s="1">
        <v>1</v>
      </c>
      <c r="D193" s="1">
        <v>6</v>
      </c>
      <c r="E193" s="1" t="b">
        <v>0</v>
      </c>
      <c r="F193" s="1">
        <v>0</v>
      </c>
      <c r="G193" s="1">
        <v>1</v>
      </c>
      <c r="H193" s="1">
        <v>0.1</v>
      </c>
      <c r="I193" s="1" t="str">
        <f>IF(Table1[[#This Row],[weekday]]&gt;=6,"weekend","weekday")</f>
        <v>weekday</v>
      </c>
      <c r="J193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193" s="1" t="str">
        <f>IF(Table1[[#This Row],[hr]]&lt;12,"Morning",IF(Table1[[#This Row],[hr]]&lt;17,"Afternoon",IF(Table1[[#This Row],[hr]]&lt;21,"Evening","Night")))</f>
        <v>Morning</v>
      </c>
    </row>
    <row r="194" spans="1:11" x14ac:dyDescent="0.2">
      <c r="A194" s="1">
        <v>193</v>
      </c>
      <c r="B194" s="3">
        <v>40552</v>
      </c>
      <c r="C194" s="1">
        <v>1</v>
      </c>
      <c r="D194" s="1">
        <v>7</v>
      </c>
      <c r="E194" s="1" t="b">
        <v>0</v>
      </c>
      <c r="F194" s="1">
        <v>0</v>
      </c>
      <c r="G194" s="1">
        <v>1</v>
      </c>
      <c r="H194" s="1">
        <v>0.08</v>
      </c>
      <c r="I194" s="1" t="str">
        <f>IF(Table1[[#This Row],[weekday]]&gt;=6,"weekend","weekday")</f>
        <v>weekday</v>
      </c>
      <c r="J194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194" s="1" t="str">
        <f>IF(Table1[[#This Row],[hr]]&lt;12,"Morning",IF(Table1[[#This Row],[hr]]&lt;17,"Afternoon",IF(Table1[[#This Row],[hr]]&lt;21,"Evening","Night")))</f>
        <v>Morning</v>
      </c>
    </row>
    <row r="195" spans="1:11" x14ac:dyDescent="0.2">
      <c r="A195" s="1">
        <v>194</v>
      </c>
      <c r="B195" s="3">
        <v>40552</v>
      </c>
      <c r="C195" s="1">
        <v>1</v>
      </c>
      <c r="D195" s="1">
        <v>8</v>
      </c>
      <c r="E195" s="1" t="b">
        <v>0</v>
      </c>
      <c r="F195" s="1">
        <v>0</v>
      </c>
      <c r="G195" s="1">
        <v>1</v>
      </c>
      <c r="H195" s="1">
        <v>0.1</v>
      </c>
      <c r="I195" s="1" t="str">
        <f>IF(Table1[[#This Row],[weekday]]&gt;=6,"weekend","weekday")</f>
        <v>weekday</v>
      </c>
      <c r="J195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195" s="1" t="str">
        <f>IF(Table1[[#This Row],[hr]]&lt;12,"Morning",IF(Table1[[#This Row],[hr]]&lt;17,"Afternoon",IF(Table1[[#This Row],[hr]]&lt;21,"Evening","Night")))</f>
        <v>Morning</v>
      </c>
    </row>
    <row r="196" spans="1:11" x14ac:dyDescent="0.2">
      <c r="A196" s="1">
        <v>195</v>
      </c>
      <c r="B196" s="3">
        <v>40552</v>
      </c>
      <c r="C196" s="1">
        <v>1</v>
      </c>
      <c r="D196" s="1">
        <v>9</v>
      </c>
      <c r="E196" s="1" t="b">
        <v>0</v>
      </c>
      <c r="F196" s="1">
        <v>0</v>
      </c>
      <c r="G196" s="1">
        <v>1</v>
      </c>
      <c r="H196" s="1">
        <v>0.12</v>
      </c>
      <c r="I196" s="1" t="str">
        <f>IF(Table1[[#This Row],[weekday]]&gt;=6,"weekend","weekday")</f>
        <v>weekday</v>
      </c>
      <c r="J196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196" s="1" t="str">
        <f>IF(Table1[[#This Row],[hr]]&lt;12,"Morning",IF(Table1[[#This Row],[hr]]&lt;17,"Afternoon",IF(Table1[[#This Row],[hr]]&lt;21,"Evening","Night")))</f>
        <v>Morning</v>
      </c>
    </row>
    <row r="197" spans="1:11" x14ac:dyDescent="0.2">
      <c r="A197" s="1">
        <v>196</v>
      </c>
      <c r="B197" s="3">
        <v>40552</v>
      </c>
      <c r="C197" s="1">
        <v>1</v>
      </c>
      <c r="D197" s="1">
        <v>10</v>
      </c>
      <c r="E197" s="1" t="b">
        <v>0</v>
      </c>
      <c r="F197" s="1">
        <v>0</v>
      </c>
      <c r="G197" s="1">
        <v>1</v>
      </c>
      <c r="H197" s="1">
        <v>0.14000000000000001</v>
      </c>
      <c r="I197" s="1" t="str">
        <f>IF(Table1[[#This Row],[weekday]]&gt;=6,"weekend","weekday")</f>
        <v>weekday</v>
      </c>
      <c r="J197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197" s="1" t="str">
        <f>IF(Table1[[#This Row],[hr]]&lt;12,"Morning",IF(Table1[[#This Row],[hr]]&lt;17,"Afternoon",IF(Table1[[#This Row],[hr]]&lt;21,"Evening","Night")))</f>
        <v>Morning</v>
      </c>
    </row>
    <row r="198" spans="1:11" x14ac:dyDescent="0.2">
      <c r="A198" s="1">
        <v>197</v>
      </c>
      <c r="B198" s="3">
        <v>40552</v>
      </c>
      <c r="C198" s="1">
        <v>1</v>
      </c>
      <c r="D198" s="1">
        <v>11</v>
      </c>
      <c r="E198" s="1" t="b">
        <v>0</v>
      </c>
      <c r="F198" s="1">
        <v>0</v>
      </c>
      <c r="G198" s="1">
        <v>1</v>
      </c>
      <c r="H198" s="1">
        <v>0.16</v>
      </c>
      <c r="I198" s="1" t="str">
        <f>IF(Table1[[#This Row],[weekday]]&gt;=6,"weekend","weekday")</f>
        <v>weekday</v>
      </c>
      <c r="J198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198" s="1" t="str">
        <f>IF(Table1[[#This Row],[hr]]&lt;12,"Morning",IF(Table1[[#This Row],[hr]]&lt;17,"Afternoon",IF(Table1[[#This Row],[hr]]&lt;21,"Evening","Night")))</f>
        <v>Morning</v>
      </c>
    </row>
    <row r="199" spans="1:11" x14ac:dyDescent="0.2">
      <c r="A199" s="1">
        <v>198</v>
      </c>
      <c r="B199" s="3">
        <v>40552</v>
      </c>
      <c r="C199" s="1">
        <v>1</v>
      </c>
      <c r="D199" s="1">
        <v>12</v>
      </c>
      <c r="E199" s="1" t="b">
        <v>0</v>
      </c>
      <c r="F199" s="1">
        <v>0</v>
      </c>
      <c r="G199" s="1">
        <v>1</v>
      </c>
      <c r="H199" s="1">
        <v>0.18</v>
      </c>
      <c r="I199" s="1" t="str">
        <f>IF(Table1[[#This Row],[weekday]]&gt;=6,"weekend","weekday")</f>
        <v>weekday</v>
      </c>
      <c r="J199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199" s="1" t="str">
        <f>IF(Table1[[#This Row],[hr]]&lt;12,"Morning",IF(Table1[[#This Row],[hr]]&lt;17,"Afternoon",IF(Table1[[#This Row],[hr]]&lt;21,"Evening","Night")))</f>
        <v>Afternoon</v>
      </c>
    </row>
    <row r="200" spans="1:11" x14ac:dyDescent="0.2">
      <c r="A200" s="1">
        <v>199</v>
      </c>
      <c r="B200" s="3">
        <v>40552</v>
      </c>
      <c r="C200" s="1">
        <v>1</v>
      </c>
      <c r="D200" s="1">
        <v>13</v>
      </c>
      <c r="E200" s="1" t="b">
        <v>0</v>
      </c>
      <c r="F200" s="1">
        <v>0</v>
      </c>
      <c r="G200" s="1">
        <v>1</v>
      </c>
      <c r="H200" s="1">
        <v>0.2</v>
      </c>
      <c r="I200" s="1" t="str">
        <f>IF(Table1[[#This Row],[weekday]]&gt;=6,"weekend","weekday")</f>
        <v>weekday</v>
      </c>
      <c r="J200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200" s="1" t="str">
        <f>IF(Table1[[#This Row],[hr]]&lt;12,"Morning",IF(Table1[[#This Row],[hr]]&lt;17,"Afternoon",IF(Table1[[#This Row],[hr]]&lt;21,"Evening","Night")))</f>
        <v>Afternoon</v>
      </c>
    </row>
    <row r="201" spans="1:11" x14ac:dyDescent="0.2">
      <c r="A201" s="1">
        <v>200</v>
      </c>
      <c r="B201" s="3">
        <v>40552</v>
      </c>
      <c r="C201" s="1">
        <v>1</v>
      </c>
      <c r="D201" s="1">
        <v>14</v>
      </c>
      <c r="E201" s="1" t="b">
        <v>0</v>
      </c>
      <c r="F201" s="1">
        <v>0</v>
      </c>
      <c r="G201" s="1">
        <v>1</v>
      </c>
      <c r="H201" s="1">
        <v>0.22</v>
      </c>
      <c r="I201" s="1" t="str">
        <f>IF(Table1[[#This Row],[weekday]]&gt;=6,"weekend","weekday")</f>
        <v>weekday</v>
      </c>
      <c r="J201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201" s="1" t="str">
        <f>IF(Table1[[#This Row],[hr]]&lt;12,"Morning",IF(Table1[[#This Row],[hr]]&lt;17,"Afternoon",IF(Table1[[#This Row],[hr]]&lt;21,"Evening","Night")))</f>
        <v>Afternoon</v>
      </c>
    </row>
    <row r="202" spans="1:11" x14ac:dyDescent="0.2">
      <c r="A202" s="1">
        <v>201</v>
      </c>
      <c r="B202" s="3">
        <v>40552</v>
      </c>
      <c r="C202" s="1">
        <v>1</v>
      </c>
      <c r="D202" s="1">
        <v>15</v>
      </c>
      <c r="E202" s="1" t="b">
        <v>0</v>
      </c>
      <c r="F202" s="1">
        <v>0</v>
      </c>
      <c r="G202" s="1">
        <v>1</v>
      </c>
      <c r="H202" s="1">
        <v>0.22</v>
      </c>
      <c r="I202" s="1" t="str">
        <f>IF(Table1[[#This Row],[weekday]]&gt;=6,"weekend","weekday")</f>
        <v>weekday</v>
      </c>
      <c r="J202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202" s="1" t="str">
        <f>IF(Table1[[#This Row],[hr]]&lt;12,"Morning",IF(Table1[[#This Row],[hr]]&lt;17,"Afternoon",IF(Table1[[#This Row],[hr]]&lt;21,"Evening","Night")))</f>
        <v>Afternoon</v>
      </c>
    </row>
    <row r="203" spans="1:11" x14ac:dyDescent="0.2">
      <c r="A203" s="1">
        <v>202</v>
      </c>
      <c r="B203" s="3">
        <v>40552</v>
      </c>
      <c r="C203" s="1">
        <v>1</v>
      </c>
      <c r="D203" s="1">
        <v>16</v>
      </c>
      <c r="E203" s="1" t="b">
        <v>0</v>
      </c>
      <c r="F203" s="1">
        <v>0</v>
      </c>
      <c r="G203" s="1">
        <v>1</v>
      </c>
      <c r="H203" s="1">
        <v>0.2</v>
      </c>
      <c r="I203" s="1" t="str">
        <f>IF(Table1[[#This Row],[weekday]]&gt;=6,"weekend","weekday")</f>
        <v>weekday</v>
      </c>
      <c r="J203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203" s="1" t="str">
        <f>IF(Table1[[#This Row],[hr]]&lt;12,"Morning",IF(Table1[[#This Row],[hr]]&lt;17,"Afternoon",IF(Table1[[#This Row],[hr]]&lt;21,"Evening","Night")))</f>
        <v>Afternoon</v>
      </c>
    </row>
    <row r="204" spans="1:11" x14ac:dyDescent="0.2">
      <c r="A204" s="1">
        <v>203</v>
      </c>
      <c r="B204" s="3">
        <v>40552</v>
      </c>
      <c r="C204" s="1">
        <v>1</v>
      </c>
      <c r="D204" s="1">
        <v>17</v>
      </c>
      <c r="E204" s="1" t="b">
        <v>0</v>
      </c>
      <c r="F204" s="1">
        <v>0</v>
      </c>
      <c r="G204" s="1">
        <v>1</v>
      </c>
      <c r="H204" s="1">
        <v>0.18</v>
      </c>
      <c r="I204" s="1" t="str">
        <f>IF(Table1[[#This Row],[weekday]]&gt;=6,"weekend","weekday")</f>
        <v>weekday</v>
      </c>
      <c r="J204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204" s="1" t="str">
        <f>IF(Table1[[#This Row],[hr]]&lt;12,"Morning",IF(Table1[[#This Row],[hr]]&lt;17,"Afternoon",IF(Table1[[#This Row],[hr]]&lt;21,"Evening","Night")))</f>
        <v>Evening</v>
      </c>
    </row>
    <row r="205" spans="1:11" x14ac:dyDescent="0.2">
      <c r="A205" s="1">
        <v>204</v>
      </c>
      <c r="B205" s="3">
        <v>40552</v>
      </c>
      <c r="C205" s="1">
        <v>1</v>
      </c>
      <c r="D205" s="1">
        <v>18</v>
      </c>
      <c r="E205" s="1" t="b">
        <v>0</v>
      </c>
      <c r="F205" s="1">
        <v>0</v>
      </c>
      <c r="G205" s="1">
        <v>1</v>
      </c>
      <c r="H205" s="1">
        <v>0.16</v>
      </c>
      <c r="I205" s="1" t="str">
        <f>IF(Table1[[#This Row],[weekday]]&gt;=6,"weekend","weekday")</f>
        <v>weekday</v>
      </c>
      <c r="J205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205" s="1" t="str">
        <f>IF(Table1[[#This Row],[hr]]&lt;12,"Morning",IF(Table1[[#This Row],[hr]]&lt;17,"Afternoon",IF(Table1[[#This Row],[hr]]&lt;21,"Evening","Night")))</f>
        <v>Evening</v>
      </c>
    </row>
    <row r="206" spans="1:11" x14ac:dyDescent="0.2">
      <c r="A206" s="1">
        <v>205</v>
      </c>
      <c r="B206" s="3">
        <v>40552</v>
      </c>
      <c r="C206" s="1">
        <v>1</v>
      </c>
      <c r="D206" s="1">
        <v>19</v>
      </c>
      <c r="E206" s="1" t="b">
        <v>0</v>
      </c>
      <c r="F206" s="1">
        <v>0</v>
      </c>
      <c r="G206" s="1">
        <v>1</v>
      </c>
      <c r="H206" s="1">
        <v>0.16</v>
      </c>
      <c r="I206" s="1" t="str">
        <f>IF(Table1[[#This Row],[weekday]]&gt;=6,"weekend","weekday")</f>
        <v>weekday</v>
      </c>
      <c r="J206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206" s="1" t="str">
        <f>IF(Table1[[#This Row],[hr]]&lt;12,"Morning",IF(Table1[[#This Row],[hr]]&lt;17,"Afternoon",IF(Table1[[#This Row],[hr]]&lt;21,"Evening","Night")))</f>
        <v>Evening</v>
      </c>
    </row>
    <row r="207" spans="1:11" x14ac:dyDescent="0.2">
      <c r="A207" s="1">
        <v>206</v>
      </c>
      <c r="B207" s="3">
        <v>40552</v>
      </c>
      <c r="C207" s="1">
        <v>1</v>
      </c>
      <c r="D207" s="1">
        <v>20</v>
      </c>
      <c r="E207" s="1" t="b">
        <v>0</v>
      </c>
      <c r="F207" s="1">
        <v>0</v>
      </c>
      <c r="G207" s="1">
        <v>1</v>
      </c>
      <c r="H207" s="1">
        <v>0.14000000000000001</v>
      </c>
      <c r="I207" s="1" t="str">
        <f>IF(Table1[[#This Row],[weekday]]&gt;=6,"weekend","weekday")</f>
        <v>weekday</v>
      </c>
      <c r="J207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207" s="1" t="str">
        <f>IF(Table1[[#This Row],[hr]]&lt;12,"Morning",IF(Table1[[#This Row],[hr]]&lt;17,"Afternoon",IF(Table1[[#This Row],[hr]]&lt;21,"Evening","Night")))</f>
        <v>Evening</v>
      </c>
    </row>
    <row r="208" spans="1:11" x14ac:dyDescent="0.2">
      <c r="A208" s="1">
        <v>207</v>
      </c>
      <c r="B208" s="3">
        <v>40552</v>
      </c>
      <c r="C208" s="1">
        <v>1</v>
      </c>
      <c r="D208" s="1">
        <v>21</v>
      </c>
      <c r="E208" s="1" t="b">
        <v>0</v>
      </c>
      <c r="F208" s="1">
        <v>0</v>
      </c>
      <c r="G208" s="1">
        <v>1</v>
      </c>
      <c r="H208" s="1">
        <v>0.14000000000000001</v>
      </c>
      <c r="I208" s="1" t="str">
        <f>IF(Table1[[#This Row],[weekday]]&gt;=6,"weekend","weekday")</f>
        <v>weekday</v>
      </c>
      <c r="J208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208" s="1" t="str">
        <f>IF(Table1[[#This Row],[hr]]&lt;12,"Morning",IF(Table1[[#This Row],[hr]]&lt;17,"Afternoon",IF(Table1[[#This Row],[hr]]&lt;21,"Evening","Night")))</f>
        <v>Night</v>
      </c>
    </row>
    <row r="209" spans="1:11" x14ac:dyDescent="0.2">
      <c r="A209" s="1">
        <v>208</v>
      </c>
      <c r="B209" s="3">
        <v>40552</v>
      </c>
      <c r="C209" s="1">
        <v>1</v>
      </c>
      <c r="D209" s="1">
        <v>22</v>
      </c>
      <c r="E209" s="1" t="b">
        <v>0</v>
      </c>
      <c r="F209" s="1">
        <v>0</v>
      </c>
      <c r="G209" s="1">
        <v>1</v>
      </c>
      <c r="H209" s="1">
        <v>0.14000000000000001</v>
      </c>
      <c r="I209" s="1" t="str">
        <f>IF(Table1[[#This Row],[weekday]]&gt;=6,"weekend","weekday")</f>
        <v>weekday</v>
      </c>
      <c r="J209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209" s="1" t="str">
        <f>IF(Table1[[#This Row],[hr]]&lt;12,"Morning",IF(Table1[[#This Row],[hr]]&lt;17,"Afternoon",IF(Table1[[#This Row],[hr]]&lt;21,"Evening","Night")))</f>
        <v>Night</v>
      </c>
    </row>
    <row r="210" spans="1:11" x14ac:dyDescent="0.2">
      <c r="A210" s="1">
        <v>209</v>
      </c>
      <c r="B210" s="3">
        <v>40552</v>
      </c>
      <c r="C210" s="1">
        <v>1</v>
      </c>
      <c r="D210" s="1">
        <v>23</v>
      </c>
      <c r="E210" s="1" t="b">
        <v>0</v>
      </c>
      <c r="F210" s="1">
        <v>0</v>
      </c>
      <c r="G210" s="1">
        <v>1</v>
      </c>
      <c r="H210" s="1">
        <v>0.12</v>
      </c>
      <c r="I210" s="1" t="str">
        <f>IF(Table1[[#This Row],[weekday]]&gt;=6,"weekend","weekday")</f>
        <v>weekday</v>
      </c>
      <c r="J210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210" s="1" t="str">
        <f>IF(Table1[[#This Row],[hr]]&lt;12,"Morning",IF(Table1[[#This Row],[hr]]&lt;17,"Afternoon",IF(Table1[[#This Row],[hr]]&lt;21,"Evening","Night")))</f>
        <v>Night</v>
      </c>
    </row>
    <row r="211" spans="1:11" x14ac:dyDescent="0.2">
      <c r="A211" s="1">
        <v>210</v>
      </c>
      <c r="B211" s="3">
        <v>40553</v>
      </c>
      <c r="C211" s="1">
        <v>1</v>
      </c>
      <c r="D211" s="1">
        <v>0</v>
      </c>
      <c r="E211" s="1" t="b">
        <v>0</v>
      </c>
      <c r="F211" s="1">
        <v>1</v>
      </c>
      <c r="G211" s="1">
        <v>1</v>
      </c>
      <c r="H211" s="1">
        <v>0.12</v>
      </c>
      <c r="I211" s="1" t="str">
        <f>IF(Table1[[#This Row],[weekday]]&gt;=6,"weekend","weekday")</f>
        <v>weekday</v>
      </c>
      <c r="J211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211" s="1" t="str">
        <f>IF(Table1[[#This Row],[hr]]&lt;12,"Morning",IF(Table1[[#This Row],[hr]]&lt;17,"Afternoon",IF(Table1[[#This Row],[hr]]&lt;21,"Evening","Night")))</f>
        <v>Morning</v>
      </c>
    </row>
    <row r="212" spans="1:11" x14ac:dyDescent="0.2">
      <c r="A212" s="1">
        <v>211</v>
      </c>
      <c r="B212" s="3">
        <v>40553</v>
      </c>
      <c r="C212" s="1">
        <v>1</v>
      </c>
      <c r="D212" s="1">
        <v>1</v>
      </c>
      <c r="E212" s="1" t="b">
        <v>0</v>
      </c>
      <c r="F212" s="1">
        <v>1</v>
      </c>
      <c r="G212" s="1">
        <v>1</v>
      </c>
      <c r="H212" s="1">
        <v>0.12</v>
      </c>
      <c r="I212" s="1" t="str">
        <f>IF(Table1[[#This Row],[weekday]]&gt;=6,"weekend","weekday")</f>
        <v>weekday</v>
      </c>
      <c r="J212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212" s="1" t="str">
        <f>IF(Table1[[#This Row],[hr]]&lt;12,"Morning",IF(Table1[[#This Row],[hr]]&lt;17,"Afternoon",IF(Table1[[#This Row],[hr]]&lt;21,"Evening","Night")))</f>
        <v>Morning</v>
      </c>
    </row>
    <row r="213" spans="1:11" x14ac:dyDescent="0.2">
      <c r="A213" s="1">
        <v>212</v>
      </c>
      <c r="B213" s="3">
        <v>40553</v>
      </c>
      <c r="C213" s="1">
        <v>1</v>
      </c>
      <c r="D213" s="1">
        <v>2</v>
      </c>
      <c r="E213" s="1" t="b">
        <v>0</v>
      </c>
      <c r="F213" s="1">
        <v>1</v>
      </c>
      <c r="G213" s="1">
        <v>1</v>
      </c>
      <c r="H213" s="1">
        <v>0.12</v>
      </c>
      <c r="I213" s="1" t="str">
        <f>IF(Table1[[#This Row],[weekday]]&gt;=6,"weekend","weekday")</f>
        <v>weekday</v>
      </c>
      <c r="J213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213" s="1" t="str">
        <f>IF(Table1[[#This Row],[hr]]&lt;12,"Morning",IF(Table1[[#This Row],[hr]]&lt;17,"Afternoon",IF(Table1[[#This Row],[hr]]&lt;21,"Evening","Night")))</f>
        <v>Morning</v>
      </c>
    </row>
    <row r="214" spans="1:11" x14ac:dyDescent="0.2">
      <c r="A214" s="1">
        <v>213</v>
      </c>
      <c r="B214" s="3">
        <v>40553</v>
      </c>
      <c r="C214" s="1">
        <v>1</v>
      </c>
      <c r="D214" s="1">
        <v>3</v>
      </c>
      <c r="E214" s="1" t="b">
        <v>0</v>
      </c>
      <c r="F214" s="1">
        <v>1</v>
      </c>
      <c r="G214" s="1">
        <v>1</v>
      </c>
      <c r="H214" s="1">
        <v>0.12</v>
      </c>
      <c r="I214" s="1" t="str">
        <f>IF(Table1[[#This Row],[weekday]]&gt;=6,"weekend","weekday")</f>
        <v>weekday</v>
      </c>
      <c r="J214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214" s="1" t="str">
        <f>IF(Table1[[#This Row],[hr]]&lt;12,"Morning",IF(Table1[[#This Row],[hr]]&lt;17,"Afternoon",IF(Table1[[#This Row],[hr]]&lt;21,"Evening","Night")))</f>
        <v>Morning</v>
      </c>
    </row>
    <row r="215" spans="1:11" x14ac:dyDescent="0.2">
      <c r="A215" s="1">
        <v>214</v>
      </c>
      <c r="B215" s="3">
        <v>40553</v>
      </c>
      <c r="C215" s="1">
        <v>1</v>
      </c>
      <c r="D215" s="1">
        <v>4</v>
      </c>
      <c r="E215" s="1" t="b">
        <v>0</v>
      </c>
      <c r="F215" s="1">
        <v>1</v>
      </c>
      <c r="G215" s="1">
        <v>1</v>
      </c>
      <c r="H215" s="1">
        <v>0.1</v>
      </c>
      <c r="I215" s="1" t="str">
        <f>IF(Table1[[#This Row],[weekday]]&gt;=6,"weekend","weekday")</f>
        <v>weekday</v>
      </c>
      <c r="J215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215" s="1" t="str">
        <f>IF(Table1[[#This Row],[hr]]&lt;12,"Morning",IF(Table1[[#This Row],[hr]]&lt;17,"Afternoon",IF(Table1[[#This Row],[hr]]&lt;21,"Evening","Night")))</f>
        <v>Morning</v>
      </c>
    </row>
    <row r="216" spans="1:11" x14ac:dyDescent="0.2">
      <c r="A216" s="1">
        <v>215</v>
      </c>
      <c r="B216" s="3">
        <v>40553</v>
      </c>
      <c r="C216" s="1">
        <v>1</v>
      </c>
      <c r="D216" s="1">
        <v>5</v>
      </c>
      <c r="E216" s="1" t="b">
        <v>0</v>
      </c>
      <c r="F216" s="1">
        <v>1</v>
      </c>
      <c r="G216" s="1">
        <v>1</v>
      </c>
      <c r="H216" s="1">
        <v>0.1</v>
      </c>
      <c r="I216" s="1" t="str">
        <f>IF(Table1[[#This Row],[weekday]]&gt;=6,"weekend","weekday")</f>
        <v>weekday</v>
      </c>
      <c r="J216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216" s="1" t="str">
        <f>IF(Table1[[#This Row],[hr]]&lt;12,"Morning",IF(Table1[[#This Row],[hr]]&lt;17,"Afternoon",IF(Table1[[#This Row],[hr]]&lt;21,"Evening","Night")))</f>
        <v>Morning</v>
      </c>
    </row>
    <row r="217" spans="1:11" x14ac:dyDescent="0.2">
      <c r="A217" s="1">
        <v>216</v>
      </c>
      <c r="B217" s="3">
        <v>40553</v>
      </c>
      <c r="C217" s="1">
        <v>1</v>
      </c>
      <c r="D217" s="1">
        <v>6</v>
      </c>
      <c r="E217" s="1" t="b">
        <v>0</v>
      </c>
      <c r="F217" s="1">
        <v>1</v>
      </c>
      <c r="G217" s="1">
        <v>1</v>
      </c>
      <c r="H217" s="1">
        <v>0.12</v>
      </c>
      <c r="I217" s="1" t="str">
        <f>IF(Table1[[#This Row],[weekday]]&gt;=6,"weekend","weekday")</f>
        <v>weekday</v>
      </c>
      <c r="J217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217" s="1" t="str">
        <f>IF(Table1[[#This Row],[hr]]&lt;12,"Morning",IF(Table1[[#This Row],[hr]]&lt;17,"Afternoon",IF(Table1[[#This Row],[hr]]&lt;21,"Evening","Night")))</f>
        <v>Morning</v>
      </c>
    </row>
    <row r="218" spans="1:11" x14ac:dyDescent="0.2">
      <c r="A218" s="1">
        <v>217</v>
      </c>
      <c r="B218" s="3">
        <v>40553</v>
      </c>
      <c r="C218" s="1">
        <v>1</v>
      </c>
      <c r="D218" s="1">
        <v>7</v>
      </c>
      <c r="E218" s="1" t="b">
        <v>0</v>
      </c>
      <c r="F218" s="1">
        <v>1</v>
      </c>
      <c r="G218" s="1">
        <v>1</v>
      </c>
      <c r="H218" s="1">
        <v>0.12</v>
      </c>
      <c r="I218" s="1" t="str">
        <f>IF(Table1[[#This Row],[weekday]]&gt;=6,"weekend","weekday")</f>
        <v>weekday</v>
      </c>
      <c r="J218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218" s="1" t="str">
        <f>IF(Table1[[#This Row],[hr]]&lt;12,"Morning",IF(Table1[[#This Row],[hr]]&lt;17,"Afternoon",IF(Table1[[#This Row],[hr]]&lt;21,"Evening","Night")))</f>
        <v>Morning</v>
      </c>
    </row>
    <row r="219" spans="1:11" x14ac:dyDescent="0.2">
      <c r="A219" s="1">
        <v>218</v>
      </c>
      <c r="B219" s="3">
        <v>40553</v>
      </c>
      <c r="C219" s="1">
        <v>1</v>
      </c>
      <c r="D219" s="1">
        <v>8</v>
      </c>
      <c r="E219" s="1" t="b">
        <v>0</v>
      </c>
      <c r="F219" s="1">
        <v>1</v>
      </c>
      <c r="G219" s="1">
        <v>2</v>
      </c>
      <c r="H219" s="1">
        <v>0.12</v>
      </c>
      <c r="I219" s="1" t="str">
        <f>IF(Table1[[#This Row],[weekday]]&gt;=6,"weekend","weekday")</f>
        <v>weekday</v>
      </c>
      <c r="J219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219" s="1" t="str">
        <f>IF(Table1[[#This Row],[hr]]&lt;12,"Morning",IF(Table1[[#This Row],[hr]]&lt;17,"Afternoon",IF(Table1[[#This Row],[hr]]&lt;21,"Evening","Night")))</f>
        <v>Morning</v>
      </c>
    </row>
    <row r="220" spans="1:11" x14ac:dyDescent="0.2">
      <c r="A220" s="1">
        <v>219</v>
      </c>
      <c r="B220" s="3">
        <v>40553</v>
      </c>
      <c r="C220" s="1">
        <v>1</v>
      </c>
      <c r="D220" s="1">
        <v>9</v>
      </c>
      <c r="E220" s="1" t="b">
        <v>0</v>
      </c>
      <c r="F220" s="1">
        <v>1</v>
      </c>
      <c r="G220" s="1">
        <v>2</v>
      </c>
      <c r="H220" s="1">
        <v>0.14000000000000001</v>
      </c>
      <c r="I220" s="1" t="str">
        <f>IF(Table1[[#This Row],[weekday]]&gt;=6,"weekend","weekday")</f>
        <v>weekday</v>
      </c>
      <c r="J220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220" s="1" t="str">
        <f>IF(Table1[[#This Row],[hr]]&lt;12,"Morning",IF(Table1[[#This Row],[hr]]&lt;17,"Afternoon",IF(Table1[[#This Row],[hr]]&lt;21,"Evening","Night")))</f>
        <v>Morning</v>
      </c>
    </row>
    <row r="221" spans="1:11" x14ac:dyDescent="0.2">
      <c r="A221" s="1">
        <v>220</v>
      </c>
      <c r="B221" s="3">
        <v>40553</v>
      </c>
      <c r="C221" s="1">
        <v>1</v>
      </c>
      <c r="D221" s="1">
        <v>10</v>
      </c>
      <c r="E221" s="1" t="b">
        <v>0</v>
      </c>
      <c r="F221" s="1">
        <v>1</v>
      </c>
      <c r="G221" s="1">
        <v>2</v>
      </c>
      <c r="H221" s="1">
        <v>0.14000000000000001</v>
      </c>
      <c r="I221" s="1" t="str">
        <f>IF(Table1[[#This Row],[weekday]]&gt;=6,"weekend","weekday")</f>
        <v>weekday</v>
      </c>
      <c r="J221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221" s="1" t="str">
        <f>IF(Table1[[#This Row],[hr]]&lt;12,"Morning",IF(Table1[[#This Row],[hr]]&lt;17,"Afternoon",IF(Table1[[#This Row],[hr]]&lt;21,"Evening","Night")))</f>
        <v>Morning</v>
      </c>
    </row>
    <row r="222" spans="1:11" x14ac:dyDescent="0.2">
      <c r="A222" s="1">
        <v>221</v>
      </c>
      <c r="B222" s="3">
        <v>40553</v>
      </c>
      <c r="C222" s="1">
        <v>1</v>
      </c>
      <c r="D222" s="1">
        <v>11</v>
      </c>
      <c r="E222" s="1" t="b">
        <v>0</v>
      </c>
      <c r="F222" s="1">
        <v>1</v>
      </c>
      <c r="G222" s="1">
        <v>2</v>
      </c>
      <c r="H222" s="1">
        <v>0.16</v>
      </c>
      <c r="I222" s="1" t="str">
        <f>IF(Table1[[#This Row],[weekday]]&gt;=6,"weekend","weekday")</f>
        <v>weekday</v>
      </c>
      <c r="J222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222" s="1" t="str">
        <f>IF(Table1[[#This Row],[hr]]&lt;12,"Morning",IF(Table1[[#This Row],[hr]]&lt;17,"Afternoon",IF(Table1[[#This Row],[hr]]&lt;21,"Evening","Night")))</f>
        <v>Morning</v>
      </c>
    </row>
    <row r="223" spans="1:11" x14ac:dyDescent="0.2">
      <c r="A223" s="1">
        <v>222</v>
      </c>
      <c r="B223" s="3">
        <v>40553</v>
      </c>
      <c r="C223" s="1">
        <v>1</v>
      </c>
      <c r="D223" s="1">
        <v>12</v>
      </c>
      <c r="E223" s="1" t="b">
        <v>0</v>
      </c>
      <c r="F223" s="1">
        <v>1</v>
      </c>
      <c r="G223" s="1">
        <v>2</v>
      </c>
      <c r="H223" s="1">
        <v>0.2</v>
      </c>
      <c r="I223" s="1" t="str">
        <f>IF(Table1[[#This Row],[weekday]]&gt;=6,"weekend","weekday")</f>
        <v>weekday</v>
      </c>
      <c r="J223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223" s="1" t="str">
        <f>IF(Table1[[#This Row],[hr]]&lt;12,"Morning",IF(Table1[[#This Row],[hr]]&lt;17,"Afternoon",IF(Table1[[#This Row],[hr]]&lt;21,"Evening","Night")))</f>
        <v>Afternoon</v>
      </c>
    </row>
    <row r="224" spans="1:11" x14ac:dyDescent="0.2">
      <c r="A224" s="1">
        <v>223</v>
      </c>
      <c r="B224" s="3">
        <v>40553</v>
      </c>
      <c r="C224" s="1">
        <v>1</v>
      </c>
      <c r="D224" s="1">
        <v>13</v>
      </c>
      <c r="E224" s="1" t="b">
        <v>0</v>
      </c>
      <c r="F224" s="1">
        <v>1</v>
      </c>
      <c r="G224" s="1">
        <v>2</v>
      </c>
      <c r="H224" s="1">
        <v>0.2</v>
      </c>
      <c r="I224" s="1" t="str">
        <f>IF(Table1[[#This Row],[weekday]]&gt;=6,"weekend","weekday")</f>
        <v>weekday</v>
      </c>
      <c r="J224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224" s="1" t="str">
        <f>IF(Table1[[#This Row],[hr]]&lt;12,"Morning",IF(Table1[[#This Row],[hr]]&lt;17,"Afternoon",IF(Table1[[#This Row],[hr]]&lt;21,"Evening","Night")))</f>
        <v>Afternoon</v>
      </c>
    </row>
    <row r="225" spans="1:11" x14ac:dyDescent="0.2">
      <c r="A225" s="1">
        <v>224</v>
      </c>
      <c r="B225" s="3">
        <v>40553</v>
      </c>
      <c r="C225" s="1">
        <v>1</v>
      </c>
      <c r="D225" s="1">
        <v>14</v>
      </c>
      <c r="E225" s="1" t="b">
        <v>0</v>
      </c>
      <c r="F225" s="1">
        <v>1</v>
      </c>
      <c r="G225" s="1">
        <v>2</v>
      </c>
      <c r="H225" s="1">
        <v>0.2</v>
      </c>
      <c r="I225" s="1" t="str">
        <f>IF(Table1[[#This Row],[weekday]]&gt;=6,"weekend","weekday")</f>
        <v>weekday</v>
      </c>
      <c r="J225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225" s="1" t="str">
        <f>IF(Table1[[#This Row],[hr]]&lt;12,"Morning",IF(Table1[[#This Row],[hr]]&lt;17,"Afternoon",IF(Table1[[#This Row],[hr]]&lt;21,"Evening","Night")))</f>
        <v>Afternoon</v>
      </c>
    </row>
    <row r="226" spans="1:11" x14ac:dyDescent="0.2">
      <c r="A226" s="1">
        <v>225</v>
      </c>
      <c r="B226" s="3">
        <v>40553</v>
      </c>
      <c r="C226" s="1">
        <v>1</v>
      </c>
      <c r="D226" s="1">
        <v>15</v>
      </c>
      <c r="E226" s="1" t="b">
        <v>0</v>
      </c>
      <c r="F226" s="1">
        <v>1</v>
      </c>
      <c r="G226" s="1">
        <v>2</v>
      </c>
      <c r="H226" s="1">
        <v>0.2</v>
      </c>
      <c r="I226" s="1" t="str">
        <f>IF(Table1[[#This Row],[weekday]]&gt;=6,"weekend","weekday")</f>
        <v>weekday</v>
      </c>
      <c r="J226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226" s="1" t="str">
        <f>IF(Table1[[#This Row],[hr]]&lt;12,"Morning",IF(Table1[[#This Row],[hr]]&lt;17,"Afternoon",IF(Table1[[#This Row],[hr]]&lt;21,"Evening","Night")))</f>
        <v>Afternoon</v>
      </c>
    </row>
    <row r="227" spans="1:11" x14ac:dyDescent="0.2">
      <c r="A227" s="1">
        <v>226</v>
      </c>
      <c r="B227" s="3">
        <v>40553</v>
      </c>
      <c r="C227" s="1">
        <v>1</v>
      </c>
      <c r="D227" s="1">
        <v>16</v>
      </c>
      <c r="E227" s="1" t="b">
        <v>0</v>
      </c>
      <c r="F227" s="1">
        <v>1</v>
      </c>
      <c r="G227" s="1">
        <v>1</v>
      </c>
      <c r="H227" s="1">
        <v>0.2</v>
      </c>
      <c r="I227" s="1" t="str">
        <f>IF(Table1[[#This Row],[weekday]]&gt;=6,"weekend","weekday")</f>
        <v>weekday</v>
      </c>
      <c r="J227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227" s="1" t="str">
        <f>IF(Table1[[#This Row],[hr]]&lt;12,"Morning",IF(Table1[[#This Row],[hr]]&lt;17,"Afternoon",IF(Table1[[#This Row],[hr]]&lt;21,"Evening","Night")))</f>
        <v>Afternoon</v>
      </c>
    </row>
    <row r="228" spans="1:11" x14ac:dyDescent="0.2">
      <c r="A228" s="1">
        <v>227</v>
      </c>
      <c r="B228" s="3">
        <v>40553</v>
      </c>
      <c r="C228" s="1">
        <v>1</v>
      </c>
      <c r="D228" s="1">
        <v>17</v>
      </c>
      <c r="E228" s="1" t="b">
        <v>0</v>
      </c>
      <c r="F228" s="1">
        <v>1</v>
      </c>
      <c r="G228" s="1">
        <v>1</v>
      </c>
      <c r="H228" s="1">
        <v>0.2</v>
      </c>
      <c r="I228" s="1" t="str">
        <f>IF(Table1[[#This Row],[weekday]]&gt;=6,"weekend","weekday")</f>
        <v>weekday</v>
      </c>
      <c r="J228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228" s="1" t="str">
        <f>IF(Table1[[#This Row],[hr]]&lt;12,"Morning",IF(Table1[[#This Row],[hr]]&lt;17,"Afternoon",IF(Table1[[#This Row],[hr]]&lt;21,"Evening","Night")))</f>
        <v>Evening</v>
      </c>
    </row>
    <row r="229" spans="1:11" x14ac:dyDescent="0.2">
      <c r="A229" s="1">
        <v>228</v>
      </c>
      <c r="B229" s="3">
        <v>40553</v>
      </c>
      <c r="C229" s="1">
        <v>1</v>
      </c>
      <c r="D229" s="1">
        <v>18</v>
      </c>
      <c r="E229" s="1" t="b">
        <v>0</v>
      </c>
      <c r="F229" s="1">
        <v>1</v>
      </c>
      <c r="G229" s="1">
        <v>1</v>
      </c>
      <c r="H229" s="1">
        <v>0.2</v>
      </c>
      <c r="I229" s="1" t="str">
        <f>IF(Table1[[#This Row],[weekday]]&gt;=6,"weekend","weekday")</f>
        <v>weekday</v>
      </c>
      <c r="J229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229" s="1" t="str">
        <f>IF(Table1[[#This Row],[hr]]&lt;12,"Morning",IF(Table1[[#This Row],[hr]]&lt;17,"Afternoon",IF(Table1[[#This Row],[hr]]&lt;21,"Evening","Night")))</f>
        <v>Evening</v>
      </c>
    </row>
    <row r="230" spans="1:11" x14ac:dyDescent="0.2">
      <c r="A230" s="1">
        <v>229</v>
      </c>
      <c r="B230" s="3">
        <v>40553</v>
      </c>
      <c r="C230" s="1">
        <v>1</v>
      </c>
      <c r="D230" s="1">
        <v>19</v>
      </c>
      <c r="E230" s="1" t="b">
        <v>0</v>
      </c>
      <c r="F230" s="1">
        <v>1</v>
      </c>
      <c r="G230" s="1">
        <v>1</v>
      </c>
      <c r="H230" s="1">
        <v>0.16</v>
      </c>
      <c r="I230" s="1" t="str">
        <f>IF(Table1[[#This Row],[weekday]]&gt;=6,"weekend","weekday")</f>
        <v>weekday</v>
      </c>
      <c r="J230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230" s="1" t="str">
        <f>IF(Table1[[#This Row],[hr]]&lt;12,"Morning",IF(Table1[[#This Row],[hr]]&lt;17,"Afternoon",IF(Table1[[#This Row],[hr]]&lt;21,"Evening","Night")))</f>
        <v>Evening</v>
      </c>
    </row>
    <row r="231" spans="1:11" x14ac:dyDescent="0.2">
      <c r="A231" s="1">
        <v>230</v>
      </c>
      <c r="B231" s="3">
        <v>40553</v>
      </c>
      <c r="C231" s="1">
        <v>1</v>
      </c>
      <c r="D231" s="1">
        <v>20</v>
      </c>
      <c r="E231" s="1" t="b">
        <v>0</v>
      </c>
      <c r="F231" s="1">
        <v>1</v>
      </c>
      <c r="G231" s="1">
        <v>1</v>
      </c>
      <c r="H231" s="1">
        <v>0.16</v>
      </c>
      <c r="I231" s="1" t="str">
        <f>IF(Table1[[#This Row],[weekday]]&gt;=6,"weekend","weekday")</f>
        <v>weekday</v>
      </c>
      <c r="J231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231" s="1" t="str">
        <f>IF(Table1[[#This Row],[hr]]&lt;12,"Morning",IF(Table1[[#This Row],[hr]]&lt;17,"Afternoon",IF(Table1[[#This Row],[hr]]&lt;21,"Evening","Night")))</f>
        <v>Evening</v>
      </c>
    </row>
    <row r="232" spans="1:11" x14ac:dyDescent="0.2">
      <c r="A232" s="1">
        <v>231</v>
      </c>
      <c r="B232" s="3">
        <v>40553</v>
      </c>
      <c r="C232" s="1">
        <v>1</v>
      </c>
      <c r="D232" s="1">
        <v>21</v>
      </c>
      <c r="E232" s="1" t="b">
        <v>0</v>
      </c>
      <c r="F232" s="1">
        <v>1</v>
      </c>
      <c r="G232" s="1">
        <v>1</v>
      </c>
      <c r="H232" s="1">
        <v>0.14000000000000001</v>
      </c>
      <c r="I232" s="1" t="str">
        <f>IF(Table1[[#This Row],[weekday]]&gt;=6,"weekend","weekday")</f>
        <v>weekday</v>
      </c>
      <c r="J232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232" s="1" t="str">
        <f>IF(Table1[[#This Row],[hr]]&lt;12,"Morning",IF(Table1[[#This Row],[hr]]&lt;17,"Afternoon",IF(Table1[[#This Row],[hr]]&lt;21,"Evening","Night")))</f>
        <v>Night</v>
      </c>
    </row>
    <row r="233" spans="1:11" x14ac:dyDescent="0.2">
      <c r="A233" s="1">
        <v>232</v>
      </c>
      <c r="B233" s="3">
        <v>40553</v>
      </c>
      <c r="C233" s="1">
        <v>1</v>
      </c>
      <c r="D233" s="1">
        <v>22</v>
      </c>
      <c r="E233" s="1" t="b">
        <v>0</v>
      </c>
      <c r="F233" s="1">
        <v>1</v>
      </c>
      <c r="G233" s="1">
        <v>1</v>
      </c>
      <c r="H233" s="1">
        <v>0.14000000000000001</v>
      </c>
      <c r="I233" s="1" t="str">
        <f>IF(Table1[[#This Row],[weekday]]&gt;=6,"weekend","weekday")</f>
        <v>weekday</v>
      </c>
      <c r="J233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233" s="1" t="str">
        <f>IF(Table1[[#This Row],[hr]]&lt;12,"Morning",IF(Table1[[#This Row],[hr]]&lt;17,"Afternoon",IF(Table1[[#This Row],[hr]]&lt;21,"Evening","Night")))</f>
        <v>Night</v>
      </c>
    </row>
    <row r="234" spans="1:11" x14ac:dyDescent="0.2">
      <c r="A234" s="1">
        <v>233</v>
      </c>
      <c r="B234" s="3">
        <v>40553</v>
      </c>
      <c r="C234" s="1">
        <v>1</v>
      </c>
      <c r="D234" s="1">
        <v>23</v>
      </c>
      <c r="E234" s="1" t="b">
        <v>0</v>
      </c>
      <c r="F234" s="1">
        <v>1</v>
      </c>
      <c r="G234" s="1">
        <v>1</v>
      </c>
      <c r="H234" s="1">
        <v>0.14000000000000001</v>
      </c>
      <c r="I234" s="1" t="str">
        <f>IF(Table1[[#This Row],[weekday]]&gt;=6,"weekend","weekday")</f>
        <v>weekday</v>
      </c>
      <c r="J234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234" s="1" t="str">
        <f>IF(Table1[[#This Row],[hr]]&lt;12,"Morning",IF(Table1[[#This Row],[hr]]&lt;17,"Afternoon",IF(Table1[[#This Row],[hr]]&lt;21,"Evening","Night")))</f>
        <v>Night</v>
      </c>
    </row>
    <row r="235" spans="1:11" x14ac:dyDescent="0.2">
      <c r="A235" s="1">
        <v>234</v>
      </c>
      <c r="B235" s="3">
        <v>40554</v>
      </c>
      <c r="C235" s="1">
        <v>1</v>
      </c>
      <c r="D235" s="1">
        <v>0</v>
      </c>
      <c r="E235" s="1" t="b">
        <v>0</v>
      </c>
      <c r="F235" s="1">
        <v>2</v>
      </c>
      <c r="G235" s="1">
        <v>1</v>
      </c>
      <c r="H235" s="1">
        <v>0.14000000000000001</v>
      </c>
      <c r="I235" s="1" t="str">
        <f>IF(Table1[[#This Row],[weekday]]&gt;=6,"weekend","weekday")</f>
        <v>weekday</v>
      </c>
      <c r="J235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235" s="1" t="str">
        <f>IF(Table1[[#This Row],[hr]]&lt;12,"Morning",IF(Table1[[#This Row],[hr]]&lt;17,"Afternoon",IF(Table1[[#This Row],[hr]]&lt;21,"Evening","Night")))</f>
        <v>Morning</v>
      </c>
    </row>
    <row r="236" spans="1:11" x14ac:dyDescent="0.2">
      <c r="A236" s="1">
        <v>235</v>
      </c>
      <c r="B236" s="3">
        <v>40554</v>
      </c>
      <c r="C236" s="1">
        <v>1</v>
      </c>
      <c r="D236" s="1">
        <v>1</v>
      </c>
      <c r="E236" s="1" t="b">
        <v>0</v>
      </c>
      <c r="F236" s="1">
        <v>2</v>
      </c>
      <c r="G236" s="1">
        <v>1</v>
      </c>
      <c r="H236" s="1">
        <v>0.14000000000000001</v>
      </c>
      <c r="I236" s="1" t="str">
        <f>IF(Table1[[#This Row],[weekday]]&gt;=6,"weekend","weekday")</f>
        <v>weekday</v>
      </c>
      <c r="J236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236" s="1" t="str">
        <f>IF(Table1[[#This Row],[hr]]&lt;12,"Morning",IF(Table1[[#This Row],[hr]]&lt;17,"Afternoon",IF(Table1[[#This Row],[hr]]&lt;21,"Evening","Night")))</f>
        <v>Morning</v>
      </c>
    </row>
    <row r="237" spans="1:11" x14ac:dyDescent="0.2">
      <c r="A237" s="1">
        <v>236</v>
      </c>
      <c r="B237" s="3">
        <v>40554</v>
      </c>
      <c r="C237" s="1">
        <v>1</v>
      </c>
      <c r="D237" s="1">
        <v>2</v>
      </c>
      <c r="E237" s="1" t="b">
        <v>0</v>
      </c>
      <c r="F237" s="1">
        <v>2</v>
      </c>
      <c r="G237" s="1">
        <v>2</v>
      </c>
      <c r="H237" s="1">
        <v>0.16</v>
      </c>
      <c r="I237" s="1" t="str">
        <f>IF(Table1[[#This Row],[weekday]]&gt;=6,"weekend","weekday")</f>
        <v>weekday</v>
      </c>
      <c r="J237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237" s="1" t="str">
        <f>IF(Table1[[#This Row],[hr]]&lt;12,"Morning",IF(Table1[[#This Row],[hr]]&lt;17,"Afternoon",IF(Table1[[#This Row],[hr]]&lt;21,"Evening","Night")))</f>
        <v>Morning</v>
      </c>
    </row>
    <row r="238" spans="1:11" x14ac:dyDescent="0.2">
      <c r="A238" s="1">
        <v>237</v>
      </c>
      <c r="B238" s="3">
        <v>40554</v>
      </c>
      <c r="C238" s="1">
        <v>1</v>
      </c>
      <c r="D238" s="1">
        <v>5</v>
      </c>
      <c r="E238" s="1" t="b">
        <v>0</v>
      </c>
      <c r="F238" s="1">
        <v>2</v>
      </c>
      <c r="G238" s="1">
        <v>2</v>
      </c>
      <c r="H238" s="1">
        <v>0.16</v>
      </c>
      <c r="I238" s="1" t="str">
        <f>IF(Table1[[#This Row],[weekday]]&gt;=6,"weekend","weekday")</f>
        <v>weekday</v>
      </c>
      <c r="J238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238" s="1" t="str">
        <f>IF(Table1[[#This Row],[hr]]&lt;12,"Morning",IF(Table1[[#This Row],[hr]]&lt;17,"Afternoon",IF(Table1[[#This Row],[hr]]&lt;21,"Evening","Night")))</f>
        <v>Morning</v>
      </c>
    </row>
    <row r="239" spans="1:11" x14ac:dyDescent="0.2">
      <c r="A239" s="1">
        <v>238</v>
      </c>
      <c r="B239" s="3">
        <v>40554</v>
      </c>
      <c r="C239" s="1">
        <v>1</v>
      </c>
      <c r="D239" s="1">
        <v>6</v>
      </c>
      <c r="E239" s="1" t="b">
        <v>0</v>
      </c>
      <c r="F239" s="1">
        <v>2</v>
      </c>
      <c r="G239" s="1">
        <v>2</v>
      </c>
      <c r="H239" s="1">
        <v>0.16</v>
      </c>
      <c r="I239" s="1" t="str">
        <f>IF(Table1[[#This Row],[weekday]]&gt;=6,"weekend","weekday")</f>
        <v>weekday</v>
      </c>
      <c r="J239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239" s="1" t="str">
        <f>IF(Table1[[#This Row],[hr]]&lt;12,"Morning",IF(Table1[[#This Row],[hr]]&lt;17,"Afternoon",IF(Table1[[#This Row],[hr]]&lt;21,"Evening","Night")))</f>
        <v>Morning</v>
      </c>
    </row>
    <row r="240" spans="1:11" x14ac:dyDescent="0.2">
      <c r="A240" s="1">
        <v>239</v>
      </c>
      <c r="B240" s="3">
        <v>40554</v>
      </c>
      <c r="C240" s="1">
        <v>1</v>
      </c>
      <c r="D240" s="1">
        <v>7</v>
      </c>
      <c r="E240" s="1" t="b">
        <v>0</v>
      </c>
      <c r="F240" s="1">
        <v>2</v>
      </c>
      <c r="G240" s="1">
        <v>2</v>
      </c>
      <c r="H240" s="1">
        <v>0.16</v>
      </c>
      <c r="I240" s="1" t="str">
        <f>IF(Table1[[#This Row],[weekday]]&gt;=6,"weekend","weekday")</f>
        <v>weekday</v>
      </c>
      <c r="J240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240" s="1" t="str">
        <f>IF(Table1[[#This Row],[hr]]&lt;12,"Morning",IF(Table1[[#This Row],[hr]]&lt;17,"Afternoon",IF(Table1[[#This Row],[hr]]&lt;21,"Evening","Night")))</f>
        <v>Morning</v>
      </c>
    </row>
    <row r="241" spans="1:11" x14ac:dyDescent="0.2">
      <c r="A241" s="1">
        <v>240</v>
      </c>
      <c r="B241" s="3">
        <v>40554</v>
      </c>
      <c r="C241" s="1">
        <v>1</v>
      </c>
      <c r="D241" s="1">
        <v>8</v>
      </c>
      <c r="E241" s="1" t="b">
        <v>0</v>
      </c>
      <c r="F241" s="1">
        <v>2</v>
      </c>
      <c r="G241" s="1">
        <v>2</v>
      </c>
      <c r="H241" s="1">
        <v>0.18</v>
      </c>
      <c r="I241" s="1" t="str">
        <f>IF(Table1[[#This Row],[weekday]]&gt;=6,"weekend","weekday")</f>
        <v>weekday</v>
      </c>
      <c r="J241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241" s="1" t="str">
        <f>IF(Table1[[#This Row],[hr]]&lt;12,"Morning",IF(Table1[[#This Row],[hr]]&lt;17,"Afternoon",IF(Table1[[#This Row],[hr]]&lt;21,"Evening","Night")))</f>
        <v>Morning</v>
      </c>
    </row>
    <row r="242" spans="1:11" x14ac:dyDescent="0.2">
      <c r="A242" s="1">
        <v>241</v>
      </c>
      <c r="B242" s="3">
        <v>40554</v>
      </c>
      <c r="C242" s="1">
        <v>1</v>
      </c>
      <c r="D242" s="1">
        <v>9</v>
      </c>
      <c r="E242" s="1" t="b">
        <v>0</v>
      </c>
      <c r="F242" s="1">
        <v>2</v>
      </c>
      <c r="G242" s="1">
        <v>2</v>
      </c>
      <c r="H242" s="1">
        <v>0.18</v>
      </c>
      <c r="I242" s="1" t="str">
        <f>IF(Table1[[#This Row],[weekday]]&gt;=6,"weekend","weekday")</f>
        <v>weekday</v>
      </c>
      <c r="J242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242" s="1" t="str">
        <f>IF(Table1[[#This Row],[hr]]&lt;12,"Morning",IF(Table1[[#This Row],[hr]]&lt;17,"Afternoon",IF(Table1[[#This Row],[hr]]&lt;21,"Evening","Night")))</f>
        <v>Morning</v>
      </c>
    </row>
    <row r="243" spans="1:11" x14ac:dyDescent="0.2">
      <c r="A243" s="1">
        <v>242</v>
      </c>
      <c r="B243" s="3">
        <v>40554</v>
      </c>
      <c r="C243" s="1">
        <v>1</v>
      </c>
      <c r="D243" s="1">
        <v>10</v>
      </c>
      <c r="E243" s="1" t="b">
        <v>0</v>
      </c>
      <c r="F243" s="1">
        <v>2</v>
      </c>
      <c r="G243" s="1">
        <v>2</v>
      </c>
      <c r="H243" s="1">
        <v>0.2</v>
      </c>
      <c r="I243" s="1" t="str">
        <f>IF(Table1[[#This Row],[weekday]]&gt;=6,"weekend","weekday")</f>
        <v>weekday</v>
      </c>
      <c r="J243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243" s="1" t="str">
        <f>IF(Table1[[#This Row],[hr]]&lt;12,"Morning",IF(Table1[[#This Row],[hr]]&lt;17,"Afternoon",IF(Table1[[#This Row],[hr]]&lt;21,"Evening","Night")))</f>
        <v>Morning</v>
      </c>
    </row>
    <row r="244" spans="1:11" x14ac:dyDescent="0.2">
      <c r="A244" s="1">
        <v>243</v>
      </c>
      <c r="B244" s="3">
        <v>40554</v>
      </c>
      <c r="C244" s="1">
        <v>1</v>
      </c>
      <c r="D244" s="1">
        <v>11</v>
      </c>
      <c r="E244" s="1" t="b">
        <v>0</v>
      </c>
      <c r="F244" s="1">
        <v>2</v>
      </c>
      <c r="G244" s="1">
        <v>2</v>
      </c>
      <c r="H244" s="1">
        <v>0.2</v>
      </c>
      <c r="I244" s="1" t="str">
        <f>IF(Table1[[#This Row],[weekday]]&gt;=6,"weekend","weekday")</f>
        <v>weekday</v>
      </c>
      <c r="J244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244" s="1" t="str">
        <f>IF(Table1[[#This Row],[hr]]&lt;12,"Morning",IF(Table1[[#This Row],[hr]]&lt;17,"Afternoon",IF(Table1[[#This Row],[hr]]&lt;21,"Evening","Night")))</f>
        <v>Morning</v>
      </c>
    </row>
    <row r="245" spans="1:11" x14ac:dyDescent="0.2">
      <c r="A245" s="1">
        <v>244</v>
      </c>
      <c r="B245" s="3">
        <v>40554</v>
      </c>
      <c r="C245" s="1">
        <v>1</v>
      </c>
      <c r="D245" s="1">
        <v>12</v>
      </c>
      <c r="E245" s="1" t="b">
        <v>0</v>
      </c>
      <c r="F245" s="1">
        <v>2</v>
      </c>
      <c r="G245" s="1">
        <v>2</v>
      </c>
      <c r="H245" s="1">
        <v>0.2</v>
      </c>
      <c r="I245" s="1" t="str">
        <f>IF(Table1[[#This Row],[weekday]]&gt;=6,"weekend","weekday")</f>
        <v>weekday</v>
      </c>
      <c r="J245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245" s="1" t="str">
        <f>IF(Table1[[#This Row],[hr]]&lt;12,"Morning",IF(Table1[[#This Row],[hr]]&lt;17,"Afternoon",IF(Table1[[#This Row],[hr]]&lt;21,"Evening","Night")))</f>
        <v>Afternoon</v>
      </c>
    </row>
    <row r="246" spans="1:11" x14ac:dyDescent="0.2">
      <c r="A246" s="1">
        <v>245</v>
      </c>
      <c r="B246" s="3">
        <v>40554</v>
      </c>
      <c r="C246" s="1">
        <v>1</v>
      </c>
      <c r="D246" s="1">
        <v>13</v>
      </c>
      <c r="E246" s="1" t="b">
        <v>0</v>
      </c>
      <c r="F246" s="1">
        <v>2</v>
      </c>
      <c r="G246" s="1">
        <v>2</v>
      </c>
      <c r="H246" s="1">
        <v>0.2</v>
      </c>
      <c r="I246" s="1" t="str">
        <f>IF(Table1[[#This Row],[weekday]]&gt;=6,"weekend","weekday")</f>
        <v>weekday</v>
      </c>
      <c r="J246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246" s="1" t="str">
        <f>IF(Table1[[#This Row],[hr]]&lt;12,"Morning",IF(Table1[[#This Row],[hr]]&lt;17,"Afternoon",IF(Table1[[#This Row],[hr]]&lt;21,"Evening","Night")))</f>
        <v>Afternoon</v>
      </c>
    </row>
    <row r="247" spans="1:11" x14ac:dyDescent="0.2">
      <c r="A247" s="1">
        <v>246</v>
      </c>
      <c r="B247" s="3">
        <v>40554</v>
      </c>
      <c r="C247" s="1">
        <v>1</v>
      </c>
      <c r="D247" s="1">
        <v>14</v>
      </c>
      <c r="E247" s="1" t="b">
        <v>0</v>
      </c>
      <c r="F247" s="1">
        <v>2</v>
      </c>
      <c r="G247" s="1">
        <v>2</v>
      </c>
      <c r="H247" s="1">
        <v>0.2</v>
      </c>
      <c r="I247" s="1" t="str">
        <f>IF(Table1[[#This Row],[weekday]]&gt;=6,"weekend","weekday")</f>
        <v>weekday</v>
      </c>
      <c r="J247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247" s="1" t="str">
        <f>IF(Table1[[#This Row],[hr]]&lt;12,"Morning",IF(Table1[[#This Row],[hr]]&lt;17,"Afternoon",IF(Table1[[#This Row],[hr]]&lt;21,"Evening","Night")))</f>
        <v>Afternoon</v>
      </c>
    </row>
    <row r="248" spans="1:11" x14ac:dyDescent="0.2">
      <c r="A248" s="1">
        <v>247</v>
      </c>
      <c r="B248" s="3">
        <v>40554</v>
      </c>
      <c r="C248" s="1">
        <v>1</v>
      </c>
      <c r="D248" s="1">
        <v>15</v>
      </c>
      <c r="E248" s="1" t="b">
        <v>0</v>
      </c>
      <c r="F248" s="1">
        <v>2</v>
      </c>
      <c r="G248" s="1">
        <v>2</v>
      </c>
      <c r="H248" s="1">
        <v>0.16</v>
      </c>
      <c r="I248" s="1" t="str">
        <f>IF(Table1[[#This Row],[weekday]]&gt;=6,"weekend","weekday")</f>
        <v>weekday</v>
      </c>
      <c r="J248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248" s="1" t="str">
        <f>IF(Table1[[#This Row],[hr]]&lt;12,"Morning",IF(Table1[[#This Row],[hr]]&lt;17,"Afternoon",IF(Table1[[#This Row],[hr]]&lt;21,"Evening","Night")))</f>
        <v>Afternoon</v>
      </c>
    </row>
    <row r="249" spans="1:11" x14ac:dyDescent="0.2">
      <c r="A249" s="1">
        <v>248</v>
      </c>
      <c r="B249" s="3">
        <v>40554</v>
      </c>
      <c r="C249" s="1">
        <v>1</v>
      </c>
      <c r="D249" s="1">
        <v>16</v>
      </c>
      <c r="E249" s="1" t="b">
        <v>0</v>
      </c>
      <c r="F249" s="1">
        <v>2</v>
      </c>
      <c r="G249" s="1">
        <v>2</v>
      </c>
      <c r="H249" s="1">
        <v>0.16</v>
      </c>
      <c r="I249" s="1" t="str">
        <f>IF(Table1[[#This Row],[weekday]]&gt;=6,"weekend","weekday")</f>
        <v>weekday</v>
      </c>
      <c r="J249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249" s="1" t="str">
        <f>IF(Table1[[#This Row],[hr]]&lt;12,"Morning",IF(Table1[[#This Row],[hr]]&lt;17,"Afternoon",IF(Table1[[#This Row],[hr]]&lt;21,"Evening","Night")))</f>
        <v>Afternoon</v>
      </c>
    </row>
    <row r="250" spans="1:11" x14ac:dyDescent="0.2">
      <c r="A250" s="1">
        <v>249</v>
      </c>
      <c r="B250" s="3">
        <v>40554</v>
      </c>
      <c r="C250" s="1">
        <v>1</v>
      </c>
      <c r="D250" s="1">
        <v>17</v>
      </c>
      <c r="E250" s="1" t="b">
        <v>0</v>
      </c>
      <c r="F250" s="1">
        <v>2</v>
      </c>
      <c r="G250" s="1">
        <v>2</v>
      </c>
      <c r="H250" s="1">
        <v>0.16</v>
      </c>
      <c r="I250" s="1" t="str">
        <f>IF(Table1[[#This Row],[weekday]]&gt;=6,"weekend","weekday")</f>
        <v>weekday</v>
      </c>
      <c r="J250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250" s="1" t="str">
        <f>IF(Table1[[#This Row],[hr]]&lt;12,"Morning",IF(Table1[[#This Row],[hr]]&lt;17,"Afternoon",IF(Table1[[#This Row],[hr]]&lt;21,"Evening","Night")))</f>
        <v>Evening</v>
      </c>
    </row>
    <row r="251" spans="1:11" x14ac:dyDescent="0.2">
      <c r="A251" s="1">
        <v>250</v>
      </c>
      <c r="B251" s="3">
        <v>40554</v>
      </c>
      <c r="C251" s="1">
        <v>1</v>
      </c>
      <c r="D251" s="1">
        <v>18</v>
      </c>
      <c r="E251" s="1" t="b">
        <v>0</v>
      </c>
      <c r="F251" s="1">
        <v>2</v>
      </c>
      <c r="G251" s="1">
        <v>3</v>
      </c>
      <c r="H251" s="1">
        <v>0.16</v>
      </c>
      <c r="I251" s="1" t="str">
        <f>IF(Table1[[#This Row],[weekday]]&gt;=6,"weekend","weekday")</f>
        <v>weekday</v>
      </c>
      <c r="J251" s="1" t="str">
        <f>IF(Table1[[#This Row],[weathersit]]=1,"clear sky",IF(Table1[[#This Row],[weathersit]]=2,"Little cloudy",IF(Table1[[#This Row],[weathersit]]=3,"Little Rain",IF(Table1[[#This Row],[weathersit]]=4,"Heavy Rainfoll"," "))))</f>
        <v>Little Rain</v>
      </c>
      <c r="K251" s="1" t="str">
        <f>IF(Table1[[#This Row],[hr]]&lt;12,"Morning",IF(Table1[[#This Row],[hr]]&lt;17,"Afternoon",IF(Table1[[#This Row],[hr]]&lt;21,"Evening","Night")))</f>
        <v>Evening</v>
      </c>
    </row>
    <row r="252" spans="1:11" x14ac:dyDescent="0.2">
      <c r="A252" s="1">
        <v>251</v>
      </c>
      <c r="B252" s="3">
        <v>40554</v>
      </c>
      <c r="C252" s="1">
        <v>1</v>
      </c>
      <c r="D252" s="1">
        <v>19</v>
      </c>
      <c r="E252" s="1" t="b">
        <v>0</v>
      </c>
      <c r="F252" s="1">
        <v>2</v>
      </c>
      <c r="G252" s="1">
        <v>3</v>
      </c>
      <c r="H252" s="1">
        <v>0.16</v>
      </c>
      <c r="I252" s="1" t="str">
        <f>IF(Table1[[#This Row],[weekday]]&gt;=6,"weekend","weekday")</f>
        <v>weekday</v>
      </c>
      <c r="J252" s="1" t="str">
        <f>IF(Table1[[#This Row],[weathersit]]=1,"clear sky",IF(Table1[[#This Row],[weathersit]]=2,"Little cloudy",IF(Table1[[#This Row],[weathersit]]=3,"Little Rain",IF(Table1[[#This Row],[weathersit]]=4,"Heavy Rainfoll"," "))))</f>
        <v>Little Rain</v>
      </c>
      <c r="K252" s="1" t="str">
        <f>IF(Table1[[#This Row],[hr]]&lt;12,"Morning",IF(Table1[[#This Row],[hr]]&lt;17,"Afternoon",IF(Table1[[#This Row],[hr]]&lt;21,"Evening","Night")))</f>
        <v>Evening</v>
      </c>
    </row>
    <row r="253" spans="1:11" x14ac:dyDescent="0.2">
      <c r="A253" s="1">
        <v>252</v>
      </c>
      <c r="B253" s="3">
        <v>40554</v>
      </c>
      <c r="C253" s="1">
        <v>1</v>
      </c>
      <c r="D253" s="1">
        <v>20</v>
      </c>
      <c r="E253" s="1" t="b">
        <v>0</v>
      </c>
      <c r="F253" s="1">
        <v>2</v>
      </c>
      <c r="G253" s="1">
        <v>3</v>
      </c>
      <c r="H253" s="1">
        <v>0.16</v>
      </c>
      <c r="I253" s="1" t="str">
        <f>IF(Table1[[#This Row],[weekday]]&gt;=6,"weekend","weekday")</f>
        <v>weekday</v>
      </c>
      <c r="J253" s="1" t="str">
        <f>IF(Table1[[#This Row],[weathersit]]=1,"clear sky",IF(Table1[[#This Row],[weathersit]]=2,"Little cloudy",IF(Table1[[#This Row],[weathersit]]=3,"Little Rain",IF(Table1[[#This Row],[weathersit]]=4,"Heavy Rainfoll"," "))))</f>
        <v>Little Rain</v>
      </c>
      <c r="K253" s="1" t="str">
        <f>IF(Table1[[#This Row],[hr]]&lt;12,"Morning",IF(Table1[[#This Row],[hr]]&lt;17,"Afternoon",IF(Table1[[#This Row],[hr]]&lt;21,"Evening","Night")))</f>
        <v>Evening</v>
      </c>
    </row>
    <row r="254" spans="1:11" x14ac:dyDescent="0.2">
      <c r="A254" s="1">
        <v>253</v>
      </c>
      <c r="B254" s="3">
        <v>40554</v>
      </c>
      <c r="C254" s="1">
        <v>1</v>
      </c>
      <c r="D254" s="1">
        <v>21</v>
      </c>
      <c r="E254" s="1" t="b">
        <v>0</v>
      </c>
      <c r="F254" s="1">
        <v>2</v>
      </c>
      <c r="G254" s="1">
        <v>3</v>
      </c>
      <c r="H254" s="1">
        <v>0.16</v>
      </c>
      <c r="I254" s="1" t="str">
        <f>IF(Table1[[#This Row],[weekday]]&gt;=6,"weekend","weekday")</f>
        <v>weekday</v>
      </c>
      <c r="J254" s="1" t="str">
        <f>IF(Table1[[#This Row],[weathersit]]=1,"clear sky",IF(Table1[[#This Row],[weathersit]]=2,"Little cloudy",IF(Table1[[#This Row],[weathersit]]=3,"Little Rain",IF(Table1[[#This Row],[weathersit]]=4,"Heavy Rainfoll"," "))))</f>
        <v>Little Rain</v>
      </c>
      <c r="K254" s="1" t="str">
        <f>IF(Table1[[#This Row],[hr]]&lt;12,"Morning",IF(Table1[[#This Row],[hr]]&lt;17,"Afternoon",IF(Table1[[#This Row],[hr]]&lt;21,"Evening","Night")))</f>
        <v>Night</v>
      </c>
    </row>
    <row r="255" spans="1:11" x14ac:dyDescent="0.2">
      <c r="A255" s="1">
        <v>254</v>
      </c>
      <c r="B255" s="3">
        <v>40554</v>
      </c>
      <c r="C255" s="1">
        <v>1</v>
      </c>
      <c r="D255" s="1">
        <v>22</v>
      </c>
      <c r="E255" s="1" t="b">
        <v>0</v>
      </c>
      <c r="F255" s="1">
        <v>2</v>
      </c>
      <c r="G255" s="1">
        <v>3</v>
      </c>
      <c r="H255" s="1">
        <v>0.16</v>
      </c>
      <c r="I255" s="1" t="str">
        <f>IF(Table1[[#This Row],[weekday]]&gt;=6,"weekend","weekday")</f>
        <v>weekday</v>
      </c>
      <c r="J255" s="1" t="str">
        <f>IF(Table1[[#This Row],[weathersit]]=1,"clear sky",IF(Table1[[#This Row],[weathersit]]=2,"Little cloudy",IF(Table1[[#This Row],[weathersit]]=3,"Little Rain",IF(Table1[[#This Row],[weathersit]]=4,"Heavy Rainfoll"," "))))</f>
        <v>Little Rain</v>
      </c>
      <c r="K255" s="1" t="str">
        <f>IF(Table1[[#This Row],[hr]]&lt;12,"Morning",IF(Table1[[#This Row],[hr]]&lt;17,"Afternoon",IF(Table1[[#This Row],[hr]]&lt;21,"Evening","Night")))</f>
        <v>Night</v>
      </c>
    </row>
    <row r="256" spans="1:11" x14ac:dyDescent="0.2">
      <c r="A256" s="1">
        <v>255</v>
      </c>
      <c r="B256" s="3">
        <v>40554</v>
      </c>
      <c r="C256" s="1">
        <v>1</v>
      </c>
      <c r="D256" s="1">
        <v>23</v>
      </c>
      <c r="E256" s="1" t="b">
        <v>0</v>
      </c>
      <c r="F256" s="1">
        <v>2</v>
      </c>
      <c r="G256" s="1">
        <v>3</v>
      </c>
      <c r="H256" s="1">
        <v>0.16</v>
      </c>
      <c r="I256" s="1" t="str">
        <f>IF(Table1[[#This Row],[weekday]]&gt;=6,"weekend","weekday")</f>
        <v>weekday</v>
      </c>
      <c r="J256" s="1" t="str">
        <f>IF(Table1[[#This Row],[weathersit]]=1,"clear sky",IF(Table1[[#This Row],[weathersit]]=2,"Little cloudy",IF(Table1[[#This Row],[weathersit]]=3,"Little Rain",IF(Table1[[#This Row],[weathersit]]=4,"Heavy Rainfoll"," "))))</f>
        <v>Little Rain</v>
      </c>
      <c r="K256" s="1" t="str">
        <f>IF(Table1[[#This Row],[hr]]&lt;12,"Morning",IF(Table1[[#This Row],[hr]]&lt;17,"Afternoon",IF(Table1[[#This Row],[hr]]&lt;21,"Evening","Night")))</f>
        <v>Night</v>
      </c>
    </row>
    <row r="257" spans="1:11" x14ac:dyDescent="0.2">
      <c r="A257" s="1">
        <v>256</v>
      </c>
      <c r="B257" s="3">
        <v>40555</v>
      </c>
      <c r="C257" s="1">
        <v>1</v>
      </c>
      <c r="D257" s="1">
        <v>0</v>
      </c>
      <c r="E257" s="1" t="b">
        <v>0</v>
      </c>
      <c r="F257" s="1">
        <v>3</v>
      </c>
      <c r="G257" s="1">
        <v>2</v>
      </c>
      <c r="H257" s="1">
        <v>0.16</v>
      </c>
      <c r="I257" s="1" t="str">
        <f>IF(Table1[[#This Row],[weekday]]&gt;=6,"weekend","weekday")</f>
        <v>weekday</v>
      </c>
      <c r="J257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257" s="1" t="str">
        <f>IF(Table1[[#This Row],[hr]]&lt;12,"Morning",IF(Table1[[#This Row],[hr]]&lt;17,"Afternoon",IF(Table1[[#This Row],[hr]]&lt;21,"Evening","Night")))</f>
        <v>Morning</v>
      </c>
    </row>
    <row r="258" spans="1:11" x14ac:dyDescent="0.2">
      <c r="A258" s="1">
        <v>257</v>
      </c>
      <c r="B258" s="3">
        <v>40555</v>
      </c>
      <c r="C258" s="1">
        <v>1</v>
      </c>
      <c r="D258" s="1">
        <v>1</v>
      </c>
      <c r="E258" s="1" t="b">
        <v>0</v>
      </c>
      <c r="F258" s="1">
        <v>3</v>
      </c>
      <c r="G258" s="1">
        <v>2</v>
      </c>
      <c r="H258" s="1">
        <v>0.16</v>
      </c>
      <c r="I258" s="1" t="str">
        <f>IF(Table1[[#This Row],[weekday]]&gt;=6,"weekend","weekday")</f>
        <v>weekday</v>
      </c>
      <c r="J258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258" s="1" t="str">
        <f>IF(Table1[[#This Row],[hr]]&lt;12,"Morning",IF(Table1[[#This Row],[hr]]&lt;17,"Afternoon",IF(Table1[[#This Row],[hr]]&lt;21,"Evening","Night")))</f>
        <v>Morning</v>
      </c>
    </row>
    <row r="259" spans="1:11" x14ac:dyDescent="0.2">
      <c r="A259" s="1">
        <v>258</v>
      </c>
      <c r="B259" s="3">
        <v>40555</v>
      </c>
      <c r="C259" s="1">
        <v>1</v>
      </c>
      <c r="D259" s="1">
        <v>2</v>
      </c>
      <c r="E259" s="1" t="b">
        <v>0</v>
      </c>
      <c r="F259" s="1">
        <v>3</v>
      </c>
      <c r="G259" s="1">
        <v>1</v>
      </c>
      <c r="H259" s="1">
        <v>0.14000000000000001</v>
      </c>
      <c r="I259" s="1" t="str">
        <f>IF(Table1[[#This Row],[weekday]]&gt;=6,"weekend","weekday")</f>
        <v>weekday</v>
      </c>
      <c r="J259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259" s="1" t="str">
        <f>IF(Table1[[#This Row],[hr]]&lt;12,"Morning",IF(Table1[[#This Row],[hr]]&lt;17,"Afternoon",IF(Table1[[#This Row],[hr]]&lt;21,"Evening","Night")))</f>
        <v>Morning</v>
      </c>
    </row>
    <row r="260" spans="1:11" x14ac:dyDescent="0.2">
      <c r="A260" s="1">
        <v>259</v>
      </c>
      <c r="B260" s="3">
        <v>40555</v>
      </c>
      <c r="C260" s="1">
        <v>1</v>
      </c>
      <c r="D260" s="1">
        <v>5</v>
      </c>
      <c r="E260" s="1" t="b">
        <v>0</v>
      </c>
      <c r="F260" s="1">
        <v>3</v>
      </c>
      <c r="G260" s="1">
        <v>1</v>
      </c>
      <c r="H260" s="1">
        <v>0.14000000000000001</v>
      </c>
      <c r="I260" s="1" t="str">
        <f>IF(Table1[[#This Row],[weekday]]&gt;=6,"weekend","weekday")</f>
        <v>weekday</v>
      </c>
      <c r="J260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260" s="1" t="str">
        <f>IF(Table1[[#This Row],[hr]]&lt;12,"Morning",IF(Table1[[#This Row],[hr]]&lt;17,"Afternoon",IF(Table1[[#This Row],[hr]]&lt;21,"Evening","Night")))</f>
        <v>Morning</v>
      </c>
    </row>
    <row r="261" spans="1:11" x14ac:dyDescent="0.2">
      <c r="A261" s="1">
        <v>260</v>
      </c>
      <c r="B261" s="3">
        <v>40555</v>
      </c>
      <c r="C261" s="1">
        <v>1</v>
      </c>
      <c r="D261" s="1">
        <v>6</v>
      </c>
      <c r="E261" s="1" t="b">
        <v>0</v>
      </c>
      <c r="F261" s="1">
        <v>3</v>
      </c>
      <c r="G261" s="1">
        <v>1</v>
      </c>
      <c r="H261" s="1">
        <v>0.12</v>
      </c>
      <c r="I261" s="1" t="str">
        <f>IF(Table1[[#This Row],[weekday]]&gt;=6,"weekend","weekday")</f>
        <v>weekday</v>
      </c>
      <c r="J261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261" s="1" t="str">
        <f>IF(Table1[[#This Row],[hr]]&lt;12,"Morning",IF(Table1[[#This Row],[hr]]&lt;17,"Afternoon",IF(Table1[[#This Row],[hr]]&lt;21,"Evening","Night")))</f>
        <v>Morning</v>
      </c>
    </row>
    <row r="262" spans="1:11" x14ac:dyDescent="0.2">
      <c r="A262" s="1">
        <v>261</v>
      </c>
      <c r="B262" s="3">
        <v>40555</v>
      </c>
      <c r="C262" s="1">
        <v>1</v>
      </c>
      <c r="D262" s="1">
        <v>7</v>
      </c>
      <c r="E262" s="1" t="b">
        <v>0</v>
      </c>
      <c r="F262" s="1">
        <v>3</v>
      </c>
      <c r="G262" s="1">
        <v>1</v>
      </c>
      <c r="H262" s="1">
        <v>0.14000000000000001</v>
      </c>
      <c r="I262" s="1" t="str">
        <f>IF(Table1[[#This Row],[weekday]]&gt;=6,"weekend","weekday")</f>
        <v>weekday</v>
      </c>
      <c r="J262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262" s="1" t="str">
        <f>IF(Table1[[#This Row],[hr]]&lt;12,"Morning",IF(Table1[[#This Row],[hr]]&lt;17,"Afternoon",IF(Table1[[#This Row],[hr]]&lt;21,"Evening","Night")))</f>
        <v>Morning</v>
      </c>
    </row>
    <row r="263" spans="1:11" x14ac:dyDescent="0.2">
      <c r="A263" s="1">
        <v>262</v>
      </c>
      <c r="B263" s="3">
        <v>40555</v>
      </c>
      <c r="C263" s="1">
        <v>1</v>
      </c>
      <c r="D263" s="1">
        <v>8</v>
      </c>
      <c r="E263" s="1" t="b">
        <v>0</v>
      </c>
      <c r="F263" s="1">
        <v>3</v>
      </c>
      <c r="G263" s="1">
        <v>1</v>
      </c>
      <c r="H263" s="1">
        <v>0.16</v>
      </c>
      <c r="I263" s="1" t="str">
        <f>IF(Table1[[#This Row],[weekday]]&gt;=6,"weekend","weekday")</f>
        <v>weekday</v>
      </c>
      <c r="J263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263" s="1" t="str">
        <f>IF(Table1[[#This Row],[hr]]&lt;12,"Morning",IF(Table1[[#This Row],[hr]]&lt;17,"Afternoon",IF(Table1[[#This Row],[hr]]&lt;21,"Evening","Night")))</f>
        <v>Morning</v>
      </c>
    </row>
    <row r="264" spans="1:11" x14ac:dyDescent="0.2">
      <c r="A264" s="1">
        <v>263</v>
      </c>
      <c r="B264" s="3">
        <v>40555</v>
      </c>
      <c r="C264" s="1">
        <v>1</v>
      </c>
      <c r="D264" s="1">
        <v>9</v>
      </c>
      <c r="E264" s="1" t="b">
        <v>0</v>
      </c>
      <c r="F264" s="1">
        <v>3</v>
      </c>
      <c r="G264" s="1">
        <v>1</v>
      </c>
      <c r="H264" s="1">
        <v>0.16</v>
      </c>
      <c r="I264" s="1" t="str">
        <f>IF(Table1[[#This Row],[weekday]]&gt;=6,"weekend","weekday")</f>
        <v>weekday</v>
      </c>
      <c r="J264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264" s="1" t="str">
        <f>IF(Table1[[#This Row],[hr]]&lt;12,"Morning",IF(Table1[[#This Row],[hr]]&lt;17,"Afternoon",IF(Table1[[#This Row],[hr]]&lt;21,"Evening","Night")))</f>
        <v>Morning</v>
      </c>
    </row>
    <row r="265" spans="1:11" x14ac:dyDescent="0.2">
      <c r="A265" s="1">
        <v>264</v>
      </c>
      <c r="B265" s="3">
        <v>40555</v>
      </c>
      <c r="C265" s="1">
        <v>1</v>
      </c>
      <c r="D265" s="1">
        <v>10</v>
      </c>
      <c r="E265" s="1" t="b">
        <v>0</v>
      </c>
      <c r="F265" s="1">
        <v>3</v>
      </c>
      <c r="G265" s="1">
        <v>1</v>
      </c>
      <c r="H265" s="1">
        <v>0.18</v>
      </c>
      <c r="I265" s="1" t="str">
        <f>IF(Table1[[#This Row],[weekday]]&gt;=6,"weekend","weekday")</f>
        <v>weekday</v>
      </c>
      <c r="J265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265" s="1" t="str">
        <f>IF(Table1[[#This Row],[hr]]&lt;12,"Morning",IF(Table1[[#This Row],[hr]]&lt;17,"Afternoon",IF(Table1[[#This Row],[hr]]&lt;21,"Evening","Night")))</f>
        <v>Morning</v>
      </c>
    </row>
    <row r="266" spans="1:11" x14ac:dyDescent="0.2">
      <c r="A266" s="1">
        <v>265</v>
      </c>
      <c r="B266" s="3">
        <v>40555</v>
      </c>
      <c r="C266" s="1">
        <v>1</v>
      </c>
      <c r="D266" s="1">
        <v>11</v>
      </c>
      <c r="E266" s="1" t="b">
        <v>0</v>
      </c>
      <c r="F266" s="1">
        <v>3</v>
      </c>
      <c r="G266" s="1">
        <v>1</v>
      </c>
      <c r="H266" s="1">
        <v>0.2</v>
      </c>
      <c r="I266" s="1" t="str">
        <f>IF(Table1[[#This Row],[weekday]]&gt;=6,"weekend","weekday")</f>
        <v>weekday</v>
      </c>
      <c r="J266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266" s="1" t="str">
        <f>IF(Table1[[#This Row],[hr]]&lt;12,"Morning",IF(Table1[[#This Row],[hr]]&lt;17,"Afternoon",IF(Table1[[#This Row],[hr]]&lt;21,"Evening","Night")))</f>
        <v>Morning</v>
      </c>
    </row>
    <row r="267" spans="1:11" x14ac:dyDescent="0.2">
      <c r="A267" s="1">
        <v>266</v>
      </c>
      <c r="B267" s="3">
        <v>40555</v>
      </c>
      <c r="C267" s="1">
        <v>1</v>
      </c>
      <c r="D267" s="1">
        <v>12</v>
      </c>
      <c r="E267" s="1" t="b">
        <v>0</v>
      </c>
      <c r="F267" s="1">
        <v>3</v>
      </c>
      <c r="G267" s="1">
        <v>1</v>
      </c>
      <c r="H267" s="1">
        <v>0.2</v>
      </c>
      <c r="I267" s="1" t="str">
        <f>IF(Table1[[#This Row],[weekday]]&gt;=6,"weekend","weekday")</f>
        <v>weekday</v>
      </c>
      <c r="J267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267" s="1" t="str">
        <f>IF(Table1[[#This Row],[hr]]&lt;12,"Morning",IF(Table1[[#This Row],[hr]]&lt;17,"Afternoon",IF(Table1[[#This Row],[hr]]&lt;21,"Evening","Night")))</f>
        <v>Afternoon</v>
      </c>
    </row>
    <row r="268" spans="1:11" x14ac:dyDescent="0.2">
      <c r="A268" s="1">
        <v>267</v>
      </c>
      <c r="B268" s="3">
        <v>40555</v>
      </c>
      <c r="C268" s="1">
        <v>1</v>
      </c>
      <c r="D268" s="1">
        <v>13</v>
      </c>
      <c r="E268" s="1" t="b">
        <v>0</v>
      </c>
      <c r="F268" s="1">
        <v>3</v>
      </c>
      <c r="G268" s="1">
        <v>1</v>
      </c>
      <c r="H268" s="1">
        <v>0.22</v>
      </c>
      <c r="I268" s="1" t="str">
        <f>IF(Table1[[#This Row],[weekday]]&gt;=6,"weekend","weekday")</f>
        <v>weekday</v>
      </c>
      <c r="J268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268" s="1" t="str">
        <f>IF(Table1[[#This Row],[hr]]&lt;12,"Morning",IF(Table1[[#This Row],[hr]]&lt;17,"Afternoon",IF(Table1[[#This Row],[hr]]&lt;21,"Evening","Night")))</f>
        <v>Afternoon</v>
      </c>
    </row>
    <row r="269" spans="1:11" x14ac:dyDescent="0.2">
      <c r="A269" s="1">
        <v>268</v>
      </c>
      <c r="B269" s="3">
        <v>40555</v>
      </c>
      <c r="C269" s="1">
        <v>1</v>
      </c>
      <c r="D269" s="1">
        <v>14</v>
      </c>
      <c r="E269" s="1" t="b">
        <v>0</v>
      </c>
      <c r="F269" s="1">
        <v>3</v>
      </c>
      <c r="G269" s="1">
        <v>1</v>
      </c>
      <c r="H269" s="1">
        <v>0.2</v>
      </c>
      <c r="I269" s="1" t="str">
        <f>IF(Table1[[#This Row],[weekday]]&gt;=6,"weekend","weekday")</f>
        <v>weekday</v>
      </c>
      <c r="J269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269" s="1" t="str">
        <f>IF(Table1[[#This Row],[hr]]&lt;12,"Morning",IF(Table1[[#This Row],[hr]]&lt;17,"Afternoon",IF(Table1[[#This Row],[hr]]&lt;21,"Evening","Night")))</f>
        <v>Afternoon</v>
      </c>
    </row>
    <row r="270" spans="1:11" x14ac:dyDescent="0.2">
      <c r="A270" s="1">
        <v>269</v>
      </c>
      <c r="B270" s="3">
        <v>40555</v>
      </c>
      <c r="C270" s="1">
        <v>1</v>
      </c>
      <c r="D270" s="1">
        <v>15</v>
      </c>
      <c r="E270" s="1" t="b">
        <v>0</v>
      </c>
      <c r="F270" s="1">
        <v>3</v>
      </c>
      <c r="G270" s="1">
        <v>1</v>
      </c>
      <c r="H270" s="1">
        <v>0.2</v>
      </c>
      <c r="I270" s="1" t="str">
        <f>IF(Table1[[#This Row],[weekday]]&gt;=6,"weekend","weekday")</f>
        <v>weekday</v>
      </c>
      <c r="J270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270" s="1" t="str">
        <f>IF(Table1[[#This Row],[hr]]&lt;12,"Morning",IF(Table1[[#This Row],[hr]]&lt;17,"Afternoon",IF(Table1[[#This Row],[hr]]&lt;21,"Evening","Night")))</f>
        <v>Afternoon</v>
      </c>
    </row>
    <row r="271" spans="1:11" x14ac:dyDescent="0.2">
      <c r="A271" s="1">
        <v>270</v>
      </c>
      <c r="B271" s="3">
        <v>40555</v>
      </c>
      <c r="C271" s="1">
        <v>1</v>
      </c>
      <c r="D271" s="1">
        <v>16</v>
      </c>
      <c r="E271" s="1" t="b">
        <v>0</v>
      </c>
      <c r="F271" s="1">
        <v>3</v>
      </c>
      <c r="G271" s="1">
        <v>1</v>
      </c>
      <c r="H271" s="1">
        <v>0.22</v>
      </c>
      <c r="I271" s="1" t="str">
        <f>IF(Table1[[#This Row],[weekday]]&gt;=6,"weekend","weekday")</f>
        <v>weekday</v>
      </c>
      <c r="J271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271" s="1" t="str">
        <f>IF(Table1[[#This Row],[hr]]&lt;12,"Morning",IF(Table1[[#This Row],[hr]]&lt;17,"Afternoon",IF(Table1[[#This Row],[hr]]&lt;21,"Evening","Night")))</f>
        <v>Afternoon</v>
      </c>
    </row>
    <row r="272" spans="1:11" x14ac:dyDescent="0.2">
      <c r="A272" s="1">
        <v>271</v>
      </c>
      <c r="B272" s="3">
        <v>40555</v>
      </c>
      <c r="C272" s="1">
        <v>1</v>
      </c>
      <c r="D272" s="1">
        <v>17</v>
      </c>
      <c r="E272" s="1" t="b">
        <v>0</v>
      </c>
      <c r="F272" s="1">
        <v>3</v>
      </c>
      <c r="G272" s="1">
        <v>1</v>
      </c>
      <c r="H272" s="1">
        <v>0.2</v>
      </c>
      <c r="I272" s="1" t="str">
        <f>IF(Table1[[#This Row],[weekday]]&gt;=6,"weekend","weekday")</f>
        <v>weekday</v>
      </c>
      <c r="J272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272" s="1" t="str">
        <f>IF(Table1[[#This Row],[hr]]&lt;12,"Morning",IF(Table1[[#This Row],[hr]]&lt;17,"Afternoon",IF(Table1[[#This Row],[hr]]&lt;21,"Evening","Night")))</f>
        <v>Evening</v>
      </c>
    </row>
    <row r="273" spans="1:11" x14ac:dyDescent="0.2">
      <c r="A273" s="1">
        <v>272</v>
      </c>
      <c r="B273" s="3">
        <v>40555</v>
      </c>
      <c r="C273" s="1">
        <v>1</v>
      </c>
      <c r="D273" s="1">
        <v>18</v>
      </c>
      <c r="E273" s="1" t="b">
        <v>0</v>
      </c>
      <c r="F273" s="1">
        <v>3</v>
      </c>
      <c r="G273" s="1">
        <v>1</v>
      </c>
      <c r="H273" s="1">
        <v>0.2</v>
      </c>
      <c r="I273" s="1" t="str">
        <f>IF(Table1[[#This Row],[weekday]]&gt;=6,"weekend","weekday")</f>
        <v>weekday</v>
      </c>
      <c r="J273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273" s="1" t="str">
        <f>IF(Table1[[#This Row],[hr]]&lt;12,"Morning",IF(Table1[[#This Row],[hr]]&lt;17,"Afternoon",IF(Table1[[#This Row],[hr]]&lt;21,"Evening","Night")))</f>
        <v>Evening</v>
      </c>
    </row>
    <row r="274" spans="1:11" x14ac:dyDescent="0.2">
      <c r="A274" s="1">
        <v>273</v>
      </c>
      <c r="B274" s="3">
        <v>40555</v>
      </c>
      <c r="C274" s="1">
        <v>1</v>
      </c>
      <c r="D274" s="1">
        <v>19</v>
      </c>
      <c r="E274" s="1" t="b">
        <v>0</v>
      </c>
      <c r="F274" s="1">
        <v>3</v>
      </c>
      <c r="G274" s="1">
        <v>1</v>
      </c>
      <c r="H274" s="1">
        <v>0.18</v>
      </c>
      <c r="I274" s="1" t="str">
        <f>IF(Table1[[#This Row],[weekday]]&gt;=6,"weekend","weekday")</f>
        <v>weekday</v>
      </c>
      <c r="J274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274" s="1" t="str">
        <f>IF(Table1[[#This Row],[hr]]&lt;12,"Morning",IF(Table1[[#This Row],[hr]]&lt;17,"Afternoon",IF(Table1[[#This Row],[hr]]&lt;21,"Evening","Night")))</f>
        <v>Evening</v>
      </c>
    </row>
    <row r="275" spans="1:11" x14ac:dyDescent="0.2">
      <c r="A275" s="1">
        <v>274</v>
      </c>
      <c r="B275" s="3">
        <v>40555</v>
      </c>
      <c r="C275" s="1">
        <v>1</v>
      </c>
      <c r="D275" s="1">
        <v>20</v>
      </c>
      <c r="E275" s="1" t="b">
        <v>0</v>
      </c>
      <c r="F275" s="1">
        <v>3</v>
      </c>
      <c r="G275" s="1">
        <v>1</v>
      </c>
      <c r="H275" s="1">
        <v>0.16</v>
      </c>
      <c r="I275" s="1" t="str">
        <f>IF(Table1[[#This Row],[weekday]]&gt;=6,"weekend","weekday")</f>
        <v>weekday</v>
      </c>
      <c r="J275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275" s="1" t="str">
        <f>IF(Table1[[#This Row],[hr]]&lt;12,"Morning",IF(Table1[[#This Row],[hr]]&lt;17,"Afternoon",IF(Table1[[#This Row],[hr]]&lt;21,"Evening","Night")))</f>
        <v>Evening</v>
      </c>
    </row>
    <row r="276" spans="1:11" x14ac:dyDescent="0.2">
      <c r="A276" s="1">
        <v>275</v>
      </c>
      <c r="B276" s="3">
        <v>40555</v>
      </c>
      <c r="C276" s="1">
        <v>1</v>
      </c>
      <c r="D276" s="1">
        <v>21</v>
      </c>
      <c r="E276" s="1" t="b">
        <v>0</v>
      </c>
      <c r="F276" s="1">
        <v>3</v>
      </c>
      <c r="G276" s="1">
        <v>1</v>
      </c>
      <c r="H276" s="1">
        <v>0.16</v>
      </c>
      <c r="I276" s="1" t="str">
        <f>IF(Table1[[#This Row],[weekday]]&gt;=6,"weekend","weekday")</f>
        <v>weekday</v>
      </c>
      <c r="J276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276" s="1" t="str">
        <f>IF(Table1[[#This Row],[hr]]&lt;12,"Morning",IF(Table1[[#This Row],[hr]]&lt;17,"Afternoon",IF(Table1[[#This Row],[hr]]&lt;21,"Evening","Night")))</f>
        <v>Night</v>
      </c>
    </row>
    <row r="277" spans="1:11" x14ac:dyDescent="0.2">
      <c r="A277" s="1">
        <v>276</v>
      </c>
      <c r="B277" s="3">
        <v>40555</v>
      </c>
      <c r="C277" s="1">
        <v>1</v>
      </c>
      <c r="D277" s="1">
        <v>22</v>
      </c>
      <c r="E277" s="1" t="b">
        <v>0</v>
      </c>
      <c r="F277" s="1">
        <v>3</v>
      </c>
      <c r="G277" s="1">
        <v>1</v>
      </c>
      <c r="H277" s="1">
        <v>0.16</v>
      </c>
      <c r="I277" s="1" t="str">
        <f>IF(Table1[[#This Row],[weekday]]&gt;=6,"weekend","weekday")</f>
        <v>weekday</v>
      </c>
      <c r="J277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277" s="1" t="str">
        <f>IF(Table1[[#This Row],[hr]]&lt;12,"Morning",IF(Table1[[#This Row],[hr]]&lt;17,"Afternoon",IF(Table1[[#This Row],[hr]]&lt;21,"Evening","Night")))</f>
        <v>Night</v>
      </c>
    </row>
    <row r="278" spans="1:11" x14ac:dyDescent="0.2">
      <c r="A278" s="1">
        <v>277</v>
      </c>
      <c r="B278" s="3">
        <v>40555</v>
      </c>
      <c r="C278" s="1">
        <v>1</v>
      </c>
      <c r="D278" s="1">
        <v>23</v>
      </c>
      <c r="E278" s="1" t="b">
        <v>0</v>
      </c>
      <c r="F278" s="1">
        <v>3</v>
      </c>
      <c r="G278" s="1">
        <v>1</v>
      </c>
      <c r="H278" s="1">
        <v>0.14000000000000001</v>
      </c>
      <c r="I278" s="1" t="str">
        <f>IF(Table1[[#This Row],[weekday]]&gt;=6,"weekend","weekday")</f>
        <v>weekday</v>
      </c>
      <c r="J278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278" s="1" t="str">
        <f>IF(Table1[[#This Row],[hr]]&lt;12,"Morning",IF(Table1[[#This Row],[hr]]&lt;17,"Afternoon",IF(Table1[[#This Row],[hr]]&lt;21,"Evening","Night")))</f>
        <v>Night</v>
      </c>
    </row>
    <row r="279" spans="1:11" x14ac:dyDescent="0.2">
      <c r="A279" s="1">
        <v>278</v>
      </c>
      <c r="B279" s="3">
        <v>40556</v>
      </c>
      <c r="C279" s="1">
        <v>1</v>
      </c>
      <c r="D279" s="1">
        <v>0</v>
      </c>
      <c r="E279" s="1" t="b">
        <v>0</v>
      </c>
      <c r="F279" s="1">
        <v>4</v>
      </c>
      <c r="G279" s="1">
        <v>1</v>
      </c>
      <c r="H279" s="1">
        <v>0.14000000000000001</v>
      </c>
      <c r="I279" s="1" t="str">
        <f>IF(Table1[[#This Row],[weekday]]&gt;=6,"weekend","weekday")</f>
        <v>weekday</v>
      </c>
      <c r="J279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279" s="1" t="str">
        <f>IF(Table1[[#This Row],[hr]]&lt;12,"Morning",IF(Table1[[#This Row],[hr]]&lt;17,"Afternoon",IF(Table1[[#This Row],[hr]]&lt;21,"Evening","Night")))</f>
        <v>Morning</v>
      </c>
    </row>
    <row r="280" spans="1:11" x14ac:dyDescent="0.2">
      <c r="A280" s="1">
        <v>279</v>
      </c>
      <c r="B280" s="3">
        <v>40556</v>
      </c>
      <c r="C280" s="1">
        <v>1</v>
      </c>
      <c r="D280" s="1">
        <v>1</v>
      </c>
      <c r="E280" s="1" t="b">
        <v>0</v>
      </c>
      <c r="F280" s="1">
        <v>4</v>
      </c>
      <c r="G280" s="1">
        <v>1</v>
      </c>
      <c r="H280" s="1">
        <v>0.14000000000000001</v>
      </c>
      <c r="I280" s="1" t="str">
        <f>IF(Table1[[#This Row],[weekday]]&gt;=6,"weekend","weekday")</f>
        <v>weekday</v>
      </c>
      <c r="J280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280" s="1" t="str">
        <f>IF(Table1[[#This Row],[hr]]&lt;12,"Morning",IF(Table1[[#This Row],[hr]]&lt;17,"Afternoon",IF(Table1[[#This Row],[hr]]&lt;21,"Evening","Night")))</f>
        <v>Morning</v>
      </c>
    </row>
    <row r="281" spans="1:11" x14ac:dyDescent="0.2">
      <c r="A281" s="1">
        <v>280</v>
      </c>
      <c r="B281" s="3">
        <v>40556</v>
      </c>
      <c r="C281" s="1">
        <v>1</v>
      </c>
      <c r="D281" s="1">
        <v>2</v>
      </c>
      <c r="E281" s="1" t="b">
        <v>0</v>
      </c>
      <c r="F281" s="1">
        <v>4</v>
      </c>
      <c r="G281" s="1">
        <v>1</v>
      </c>
      <c r="H281" s="1">
        <v>0.14000000000000001</v>
      </c>
      <c r="I281" s="1" t="str">
        <f>IF(Table1[[#This Row],[weekday]]&gt;=6,"weekend","weekday")</f>
        <v>weekday</v>
      </c>
      <c r="J281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281" s="1" t="str">
        <f>IF(Table1[[#This Row],[hr]]&lt;12,"Morning",IF(Table1[[#This Row],[hr]]&lt;17,"Afternoon",IF(Table1[[#This Row],[hr]]&lt;21,"Evening","Night")))</f>
        <v>Morning</v>
      </c>
    </row>
    <row r="282" spans="1:11" x14ac:dyDescent="0.2">
      <c r="A282" s="1">
        <v>281</v>
      </c>
      <c r="B282" s="3">
        <v>40556</v>
      </c>
      <c r="C282" s="1">
        <v>1</v>
      </c>
      <c r="D282" s="1">
        <v>3</v>
      </c>
      <c r="E282" s="1" t="b">
        <v>0</v>
      </c>
      <c r="F282" s="1">
        <v>4</v>
      </c>
      <c r="G282" s="1">
        <v>1</v>
      </c>
      <c r="H282" s="1">
        <v>0.14000000000000001</v>
      </c>
      <c r="I282" s="1" t="str">
        <f>IF(Table1[[#This Row],[weekday]]&gt;=6,"weekend","weekday")</f>
        <v>weekday</v>
      </c>
      <c r="J282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282" s="1" t="str">
        <f>IF(Table1[[#This Row],[hr]]&lt;12,"Morning",IF(Table1[[#This Row],[hr]]&lt;17,"Afternoon",IF(Table1[[#This Row],[hr]]&lt;21,"Evening","Night")))</f>
        <v>Morning</v>
      </c>
    </row>
    <row r="283" spans="1:11" x14ac:dyDescent="0.2">
      <c r="A283" s="1">
        <v>282</v>
      </c>
      <c r="B283" s="3">
        <v>40556</v>
      </c>
      <c r="C283" s="1">
        <v>1</v>
      </c>
      <c r="D283" s="1">
        <v>4</v>
      </c>
      <c r="E283" s="1" t="b">
        <v>0</v>
      </c>
      <c r="F283" s="1">
        <v>4</v>
      </c>
      <c r="G283" s="1">
        <v>1</v>
      </c>
      <c r="H283" s="1">
        <v>0.14000000000000001</v>
      </c>
      <c r="I283" s="1" t="str">
        <f>IF(Table1[[#This Row],[weekday]]&gt;=6,"weekend","weekday")</f>
        <v>weekday</v>
      </c>
      <c r="J283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283" s="1" t="str">
        <f>IF(Table1[[#This Row],[hr]]&lt;12,"Morning",IF(Table1[[#This Row],[hr]]&lt;17,"Afternoon",IF(Table1[[#This Row],[hr]]&lt;21,"Evening","Night")))</f>
        <v>Morning</v>
      </c>
    </row>
    <row r="284" spans="1:11" x14ac:dyDescent="0.2">
      <c r="A284" s="1">
        <v>283</v>
      </c>
      <c r="B284" s="3">
        <v>40556</v>
      </c>
      <c r="C284" s="1">
        <v>1</v>
      </c>
      <c r="D284" s="1">
        <v>5</v>
      </c>
      <c r="E284" s="1" t="b">
        <v>0</v>
      </c>
      <c r="F284" s="1">
        <v>4</v>
      </c>
      <c r="G284" s="1">
        <v>1</v>
      </c>
      <c r="H284" s="1">
        <v>0.14000000000000001</v>
      </c>
      <c r="I284" s="1" t="str">
        <f>IF(Table1[[#This Row],[weekday]]&gt;=6,"weekend","weekday")</f>
        <v>weekday</v>
      </c>
      <c r="J284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284" s="1" t="str">
        <f>IF(Table1[[#This Row],[hr]]&lt;12,"Morning",IF(Table1[[#This Row],[hr]]&lt;17,"Afternoon",IF(Table1[[#This Row],[hr]]&lt;21,"Evening","Night")))</f>
        <v>Morning</v>
      </c>
    </row>
    <row r="285" spans="1:11" x14ac:dyDescent="0.2">
      <c r="A285" s="1">
        <v>284</v>
      </c>
      <c r="B285" s="3">
        <v>40556</v>
      </c>
      <c r="C285" s="1">
        <v>1</v>
      </c>
      <c r="D285" s="1">
        <v>6</v>
      </c>
      <c r="E285" s="1" t="b">
        <v>0</v>
      </c>
      <c r="F285" s="1">
        <v>4</v>
      </c>
      <c r="G285" s="1">
        <v>1</v>
      </c>
      <c r="H285" s="1">
        <v>0.12</v>
      </c>
      <c r="I285" s="1" t="str">
        <f>IF(Table1[[#This Row],[weekday]]&gt;=6,"weekend","weekday")</f>
        <v>weekday</v>
      </c>
      <c r="J285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285" s="1" t="str">
        <f>IF(Table1[[#This Row],[hr]]&lt;12,"Morning",IF(Table1[[#This Row],[hr]]&lt;17,"Afternoon",IF(Table1[[#This Row],[hr]]&lt;21,"Evening","Night")))</f>
        <v>Morning</v>
      </c>
    </row>
    <row r="286" spans="1:11" x14ac:dyDescent="0.2">
      <c r="A286" s="1">
        <v>285</v>
      </c>
      <c r="B286" s="3">
        <v>40556</v>
      </c>
      <c r="C286" s="1">
        <v>1</v>
      </c>
      <c r="D286" s="1">
        <v>7</v>
      </c>
      <c r="E286" s="1" t="b">
        <v>0</v>
      </c>
      <c r="F286" s="1">
        <v>4</v>
      </c>
      <c r="G286" s="1">
        <v>1</v>
      </c>
      <c r="H286" s="1">
        <v>0.12</v>
      </c>
      <c r="I286" s="1" t="str">
        <f>IF(Table1[[#This Row],[weekday]]&gt;=6,"weekend","weekday")</f>
        <v>weekday</v>
      </c>
      <c r="J286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286" s="1" t="str">
        <f>IF(Table1[[#This Row],[hr]]&lt;12,"Morning",IF(Table1[[#This Row],[hr]]&lt;17,"Afternoon",IF(Table1[[#This Row],[hr]]&lt;21,"Evening","Night")))</f>
        <v>Morning</v>
      </c>
    </row>
    <row r="287" spans="1:11" x14ac:dyDescent="0.2">
      <c r="A287" s="1">
        <v>286</v>
      </c>
      <c r="B287" s="3">
        <v>40556</v>
      </c>
      <c r="C287" s="1">
        <v>1</v>
      </c>
      <c r="D287" s="1">
        <v>8</v>
      </c>
      <c r="E287" s="1" t="b">
        <v>0</v>
      </c>
      <c r="F287" s="1">
        <v>4</v>
      </c>
      <c r="G287" s="1">
        <v>1</v>
      </c>
      <c r="H287" s="1">
        <v>0.14000000000000001</v>
      </c>
      <c r="I287" s="1" t="str">
        <f>IF(Table1[[#This Row],[weekday]]&gt;=6,"weekend","weekday")</f>
        <v>weekday</v>
      </c>
      <c r="J287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287" s="1" t="str">
        <f>IF(Table1[[#This Row],[hr]]&lt;12,"Morning",IF(Table1[[#This Row],[hr]]&lt;17,"Afternoon",IF(Table1[[#This Row],[hr]]&lt;21,"Evening","Night")))</f>
        <v>Morning</v>
      </c>
    </row>
    <row r="288" spans="1:11" x14ac:dyDescent="0.2">
      <c r="A288" s="1">
        <v>287</v>
      </c>
      <c r="B288" s="3">
        <v>40556</v>
      </c>
      <c r="C288" s="1">
        <v>1</v>
      </c>
      <c r="D288" s="1">
        <v>9</v>
      </c>
      <c r="E288" s="1" t="b">
        <v>0</v>
      </c>
      <c r="F288" s="1">
        <v>4</v>
      </c>
      <c r="G288" s="1">
        <v>1</v>
      </c>
      <c r="H288" s="1">
        <v>0.14000000000000001</v>
      </c>
      <c r="I288" s="1" t="str">
        <f>IF(Table1[[#This Row],[weekday]]&gt;=6,"weekend","weekday")</f>
        <v>weekday</v>
      </c>
      <c r="J288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288" s="1" t="str">
        <f>IF(Table1[[#This Row],[hr]]&lt;12,"Morning",IF(Table1[[#This Row],[hr]]&lt;17,"Afternoon",IF(Table1[[#This Row],[hr]]&lt;21,"Evening","Night")))</f>
        <v>Morning</v>
      </c>
    </row>
    <row r="289" spans="1:11" x14ac:dyDescent="0.2">
      <c r="A289" s="1">
        <v>288</v>
      </c>
      <c r="B289" s="3">
        <v>40556</v>
      </c>
      <c r="C289" s="1">
        <v>1</v>
      </c>
      <c r="D289" s="1">
        <v>10</v>
      </c>
      <c r="E289" s="1" t="b">
        <v>0</v>
      </c>
      <c r="F289" s="1">
        <v>4</v>
      </c>
      <c r="G289" s="1">
        <v>2</v>
      </c>
      <c r="H289" s="1">
        <v>0.16</v>
      </c>
      <c r="I289" s="1" t="str">
        <f>IF(Table1[[#This Row],[weekday]]&gt;=6,"weekend","weekday")</f>
        <v>weekday</v>
      </c>
      <c r="J289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289" s="1" t="str">
        <f>IF(Table1[[#This Row],[hr]]&lt;12,"Morning",IF(Table1[[#This Row],[hr]]&lt;17,"Afternoon",IF(Table1[[#This Row],[hr]]&lt;21,"Evening","Night")))</f>
        <v>Morning</v>
      </c>
    </row>
    <row r="290" spans="1:11" x14ac:dyDescent="0.2">
      <c r="A290" s="1">
        <v>289</v>
      </c>
      <c r="B290" s="3">
        <v>40556</v>
      </c>
      <c r="C290" s="1">
        <v>1</v>
      </c>
      <c r="D290" s="1">
        <v>11</v>
      </c>
      <c r="E290" s="1" t="b">
        <v>0</v>
      </c>
      <c r="F290" s="1">
        <v>4</v>
      </c>
      <c r="G290" s="1">
        <v>2</v>
      </c>
      <c r="H290" s="1">
        <v>0.2</v>
      </c>
      <c r="I290" s="1" t="str">
        <f>IF(Table1[[#This Row],[weekday]]&gt;=6,"weekend","weekday")</f>
        <v>weekday</v>
      </c>
      <c r="J290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290" s="1" t="str">
        <f>IF(Table1[[#This Row],[hr]]&lt;12,"Morning",IF(Table1[[#This Row],[hr]]&lt;17,"Afternoon",IF(Table1[[#This Row],[hr]]&lt;21,"Evening","Night")))</f>
        <v>Morning</v>
      </c>
    </row>
    <row r="291" spans="1:11" x14ac:dyDescent="0.2">
      <c r="A291" s="1">
        <v>290</v>
      </c>
      <c r="B291" s="3">
        <v>40556</v>
      </c>
      <c r="C291" s="1">
        <v>1</v>
      </c>
      <c r="D291" s="1">
        <v>12</v>
      </c>
      <c r="E291" s="1" t="b">
        <v>0</v>
      </c>
      <c r="F291" s="1">
        <v>4</v>
      </c>
      <c r="G291" s="1">
        <v>1</v>
      </c>
      <c r="H291" s="1">
        <v>0.2</v>
      </c>
      <c r="I291" s="1" t="str">
        <f>IF(Table1[[#This Row],[weekday]]&gt;=6,"weekend","weekday")</f>
        <v>weekday</v>
      </c>
      <c r="J291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291" s="1" t="str">
        <f>IF(Table1[[#This Row],[hr]]&lt;12,"Morning",IF(Table1[[#This Row],[hr]]&lt;17,"Afternoon",IF(Table1[[#This Row],[hr]]&lt;21,"Evening","Night")))</f>
        <v>Afternoon</v>
      </c>
    </row>
    <row r="292" spans="1:11" x14ac:dyDescent="0.2">
      <c r="A292" s="1">
        <v>291</v>
      </c>
      <c r="B292" s="3">
        <v>40556</v>
      </c>
      <c r="C292" s="1">
        <v>1</v>
      </c>
      <c r="D292" s="1">
        <v>13</v>
      </c>
      <c r="E292" s="1" t="b">
        <v>0</v>
      </c>
      <c r="F292" s="1">
        <v>4</v>
      </c>
      <c r="G292" s="1">
        <v>1</v>
      </c>
      <c r="H292" s="1">
        <v>0.22</v>
      </c>
      <c r="I292" s="1" t="str">
        <f>IF(Table1[[#This Row],[weekday]]&gt;=6,"weekend","weekday")</f>
        <v>weekday</v>
      </c>
      <c r="J292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292" s="1" t="str">
        <f>IF(Table1[[#This Row],[hr]]&lt;12,"Morning",IF(Table1[[#This Row],[hr]]&lt;17,"Afternoon",IF(Table1[[#This Row],[hr]]&lt;21,"Evening","Night")))</f>
        <v>Afternoon</v>
      </c>
    </row>
    <row r="293" spans="1:11" x14ac:dyDescent="0.2">
      <c r="A293" s="1">
        <v>292</v>
      </c>
      <c r="B293" s="3">
        <v>40556</v>
      </c>
      <c r="C293" s="1">
        <v>1</v>
      </c>
      <c r="D293" s="1">
        <v>14</v>
      </c>
      <c r="E293" s="1" t="b">
        <v>0</v>
      </c>
      <c r="F293" s="1">
        <v>4</v>
      </c>
      <c r="G293" s="1">
        <v>1</v>
      </c>
      <c r="H293" s="1">
        <v>0.22</v>
      </c>
      <c r="I293" s="1" t="str">
        <f>IF(Table1[[#This Row],[weekday]]&gt;=6,"weekend","weekday")</f>
        <v>weekday</v>
      </c>
      <c r="J293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293" s="1" t="str">
        <f>IF(Table1[[#This Row],[hr]]&lt;12,"Morning",IF(Table1[[#This Row],[hr]]&lt;17,"Afternoon",IF(Table1[[#This Row],[hr]]&lt;21,"Evening","Night")))</f>
        <v>Afternoon</v>
      </c>
    </row>
    <row r="294" spans="1:11" x14ac:dyDescent="0.2">
      <c r="A294" s="1">
        <v>293</v>
      </c>
      <c r="B294" s="3">
        <v>40556</v>
      </c>
      <c r="C294" s="1">
        <v>1</v>
      </c>
      <c r="D294" s="1">
        <v>15</v>
      </c>
      <c r="E294" s="1" t="b">
        <v>0</v>
      </c>
      <c r="F294" s="1">
        <v>4</v>
      </c>
      <c r="G294" s="1">
        <v>1</v>
      </c>
      <c r="H294" s="1">
        <v>0.24</v>
      </c>
      <c r="I294" s="1" t="str">
        <f>IF(Table1[[#This Row],[weekday]]&gt;=6,"weekend","weekday")</f>
        <v>weekday</v>
      </c>
      <c r="J294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294" s="1" t="str">
        <f>IF(Table1[[#This Row],[hr]]&lt;12,"Morning",IF(Table1[[#This Row],[hr]]&lt;17,"Afternoon",IF(Table1[[#This Row],[hr]]&lt;21,"Evening","Night")))</f>
        <v>Afternoon</v>
      </c>
    </row>
    <row r="295" spans="1:11" x14ac:dyDescent="0.2">
      <c r="A295" s="1">
        <v>294</v>
      </c>
      <c r="B295" s="3">
        <v>40556</v>
      </c>
      <c r="C295" s="1">
        <v>1</v>
      </c>
      <c r="D295" s="1">
        <v>16</v>
      </c>
      <c r="E295" s="1" t="b">
        <v>0</v>
      </c>
      <c r="F295" s="1">
        <v>4</v>
      </c>
      <c r="G295" s="1">
        <v>1</v>
      </c>
      <c r="H295" s="1">
        <v>0.24</v>
      </c>
      <c r="I295" s="1" t="str">
        <f>IF(Table1[[#This Row],[weekday]]&gt;=6,"weekend","weekday")</f>
        <v>weekday</v>
      </c>
      <c r="J295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295" s="1" t="str">
        <f>IF(Table1[[#This Row],[hr]]&lt;12,"Morning",IF(Table1[[#This Row],[hr]]&lt;17,"Afternoon",IF(Table1[[#This Row],[hr]]&lt;21,"Evening","Night")))</f>
        <v>Afternoon</v>
      </c>
    </row>
    <row r="296" spans="1:11" x14ac:dyDescent="0.2">
      <c r="A296" s="1">
        <v>295</v>
      </c>
      <c r="B296" s="3">
        <v>40556</v>
      </c>
      <c r="C296" s="1">
        <v>1</v>
      </c>
      <c r="D296" s="1">
        <v>17</v>
      </c>
      <c r="E296" s="1" t="b">
        <v>0</v>
      </c>
      <c r="F296" s="1">
        <v>4</v>
      </c>
      <c r="G296" s="1">
        <v>1</v>
      </c>
      <c r="H296" s="1">
        <v>0.2</v>
      </c>
      <c r="I296" s="1" t="str">
        <f>IF(Table1[[#This Row],[weekday]]&gt;=6,"weekend","weekday")</f>
        <v>weekday</v>
      </c>
      <c r="J296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296" s="1" t="str">
        <f>IF(Table1[[#This Row],[hr]]&lt;12,"Morning",IF(Table1[[#This Row],[hr]]&lt;17,"Afternoon",IF(Table1[[#This Row],[hr]]&lt;21,"Evening","Night")))</f>
        <v>Evening</v>
      </c>
    </row>
    <row r="297" spans="1:11" x14ac:dyDescent="0.2">
      <c r="A297" s="1">
        <v>296</v>
      </c>
      <c r="B297" s="3">
        <v>40556</v>
      </c>
      <c r="C297" s="1">
        <v>1</v>
      </c>
      <c r="D297" s="1">
        <v>18</v>
      </c>
      <c r="E297" s="1" t="b">
        <v>0</v>
      </c>
      <c r="F297" s="1">
        <v>4</v>
      </c>
      <c r="G297" s="1">
        <v>1</v>
      </c>
      <c r="H297" s="1">
        <v>0.2</v>
      </c>
      <c r="I297" s="1" t="str">
        <f>IF(Table1[[#This Row],[weekday]]&gt;=6,"weekend","weekday")</f>
        <v>weekday</v>
      </c>
      <c r="J297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297" s="1" t="str">
        <f>IF(Table1[[#This Row],[hr]]&lt;12,"Morning",IF(Table1[[#This Row],[hr]]&lt;17,"Afternoon",IF(Table1[[#This Row],[hr]]&lt;21,"Evening","Night")))</f>
        <v>Evening</v>
      </c>
    </row>
    <row r="298" spans="1:11" x14ac:dyDescent="0.2">
      <c r="A298" s="1">
        <v>297</v>
      </c>
      <c r="B298" s="3">
        <v>40556</v>
      </c>
      <c r="C298" s="1">
        <v>1</v>
      </c>
      <c r="D298" s="1">
        <v>19</v>
      </c>
      <c r="E298" s="1" t="b">
        <v>0</v>
      </c>
      <c r="F298" s="1">
        <v>4</v>
      </c>
      <c r="G298" s="1">
        <v>1</v>
      </c>
      <c r="H298" s="1">
        <v>0.16</v>
      </c>
      <c r="I298" s="1" t="str">
        <f>IF(Table1[[#This Row],[weekday]]&gt;=6,"weekend","weekday")</f>
        <v>weekday</v>
      </c>
      <c r="J298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298" s="1" t="str">
        <f>IF(Table1[[#This Row],[hr]]&lt;12,"Morning",IF(Table1[[#This Row],[hr]]&lt;17,"Afternoon",IF(Table1[[#This Row],[hr]]&lt;21,"Evening","Night")))</f>
        <v>Evening</v>
      </c>
    </row>
    <row r="299" spans="1:11" x14ac:dyDescent="0.2">
      <c r="A299" s="1">
        <v>298</v>
      </c>
      <c r="B299" s="3">
        <v>40556</v>
      </c>
      <c r="C299" s="1">
        <v>1</v>
      </c>
      <c r="D299" s="1">
        <v>20</v>
      </c>
      <c r="E299" s="1" t="b">
        <v>0</v>
      </c>
      <c r="F299" s="1">
        <v>4</v>
      </c>
      <c r="G299" s="1">
        <v>1</v>
      </c>
      <c r="H299" s="1">
        <v>0.16</v>
      </c>
      <c r="I299" s="1" t="str">
        <f>IF(Table1[[#This Row],[weekday]]&gt;=6,"weekend","weekday")</f>
        <v>weekday</v>
      </c>
      <c r="J299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299" s="1" t="str">
        <f>IF(Table1[[#This Row],[hr]]&lt;12,"Morning",IF(Table1[[#This Row],[hr]]&lt;17,"Afternoon",IF(Table1[[#This Row],[hr]]&lt;21,"Evening","Night")))</f>
        <v>Evening</v>
      </c>
    </row>
    <row r="300" spans="1:11" x14ac:dyDescent="0.2">
      <c r="A300" s="1">
        <v>299</v>
      </c>
      <c r="B300" s="3">
        <v>40556</v>
      </c>
      <c r="C300" s="1">
        <v>1</v>
      </c>
      <c r="D300" s="1">
        <v>21</v>
      </c>
      <c r="E300" s="1" t="b">
        <v>0</v>
      </c>
      <c r="F300" s="1">
        <v>4</v>
      </c>
      <c r="G300" s="1">
        <v>1</v>
      </c>
      <c r="H300" s="1">
        <v>0.14000000000000001</v>
      </c>
      <c r="I300" s="1" t="str">
        <f>IF(Table1[[#This Row],[weekday]]&gt;=6,"weekend","weekday")</f>
        <v>weekday</v>
      </c>
      <c r="J300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300" s="1" t="str">
        <f>IF(Table1[[#This Row],[hr]]&lt;12,"Morning",IF(Table1[[#This Row],[hr]]&lt;17,"Afternoon",IF(Table1[[#This Row],[hr]]&lt;21,"Evening","Night")))</f>
        <v>Night</v>
      </c>
    </row>
    <row r="301" spans="1:11" x14ac:dyDescent="0.2">
      <c r="A301" s="1">
        <v>300</v>
      </c>
      <c r="B301" s="3">
        <v>40556</v>
      </c>
      <c r="C301" s="1">
        <v>1</v>
      </c>
      <c r="D301" s="1">
        <v>22</v>
      </c>
      <c r="E301" s="1" t="b">
        <v>0</v>
      </c>
      <c r="F301" s="1">
        <v>4</v>
      </c>
      <c r="G301" s="1">
        <v>1</v>
      </c>
      <c r="H301" s="1">
        <v>0.14000000000000001</v>
      </c>
      <c r="I301" s="1" t="str">
        <f>IF(Table1[[#This Row],[weekday]]&gt;=6,"weekend","weekday")</f>
        <v>weekday</v>
      </c>
      <c r="J301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301" s="1" t="str">
        <f>IF(Table1[[#This Row],[hr]]&lt;12,"Morning",IF(Table1[[#This Row],[hr]]&lt;17,"Afternoon",IF(Table1[[#This Row],[hr]]&lt;21,"Evening","Night")))</f>
        <v>Night</v>
      </c>
    </row>
    <row r="302" spans="1:11" x14ac:dyDescent="0.2">
      <c r="A302" s="1">
        <v>301</v>
      </c>
      <c r="B302" s="3">
        <v>40556</v>
      </c>
      <c r="C302" s="1">
        <v>1</v>
      </c>
      <c r="D302" s="1">
        <v>23</v>
      </c>
      <c r="E302" s="1" t="b">
        <v>0</v>
      </c>
      <c r="F302" s="1">
        <v>4</v>
      </c>
      <c r="G302" s="1">
        <v>1</v>
      </c>
      <c r="H302" s="1">
        <v>0.12</v>
      </c>
      <c r="I302" s="1" t="str">
        <f>IF(Table1[[#This Row],[weekday]]&gt;=6,"weekend","weekday")</f>
        <v>weekday</v>
      </c>
      <c r="J302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302" s="1" t="str">
        <f>IF(Table1[[#This Row],[hr]]&lt;12,"Morning",IF(Table1[[#This Row],[hr]]&lt;17,"Afternoon",IF(Table1[[#This Row],[hr]]&lt;21,"Evening","Night")))</f>
        <v>Night</v>
      </c>
    </row>
    <row r="303" spans="1:11" x14ac:dyDescent="0.2">
      <c r="A303" s="1">
        <v>302</v>
      </c>
      <c r="B303" s="3">
        <v>40557</v>
      </c>
      <c r="C303" s="1">
        <v>1</v>
      </c>
      <c r="D303" s="1">
        <v>0</v>
      </c>
      <c r="E303" s="1" t="b">
        <v>0</v>
      </c>
      <c r="F303" s="1">
        <v>5</v>
      </c>
      <c r="G303" s="1">
        <v>1</v>
      </c>
      <c r="H303" s="1">
        <v>0.12</v>
      </c>
      <c r="I303" s="1" t="str">
        <f>IF(Table1[[#This Row],[weekday]]&gt;=6,"weekend","weekday")</f>
        <v>weekday</v>
      </c>
      <c r="J303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303" s="1" t="str">
        <f>IF(Table1[[#This Row],[hr]]&lt;12,"Morning",IF(Table1[[#This Row],[hr]]&lt;17,"Afternoon",IF(Table1[[#This Row],[hr]]&lt;21,"Evening","Night")))</f>
        <v>Morning</v>
      </c>
    </row>
    <row r="304" spans="1:11" x14ac:dyDescent="0.2">
      <c r="A304" s="1">
        <v>303</v>
      </c>
      <c r="B304" s="3">
        <v>40557</v>
      </c>
      <c r="C304" s="1">
        <v>1</v>
      </c>
      <c r="D304" s="1">
        <v>1</v>
      </c>
      <c r="E304" s="1" t="b">
        <v>0</v>
      </c>
      <c r="F304" s="1">
        <v>5</v>
      </c>
      <c r="G304" s="1">
        <v>1</v>
      </c>
      <c r="H304" s="1">
        <v>0.1</v>
      </c>
      <c r="I304" s="1" t="str">
        <f>IF(Table1[[#This Row],[weekday]]&gt;=6,"weekend","weekday")</f>
        <v>weekday</v>
      </c>
      <c r="J304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304" s="1" t="str">
        <f>IF(Table1[[#This Row],[hr]]&lt;12,"Morning",IF(Table1[[#This Row],[hr]]&lt;17,"Afternoon",IF(Table1[[#This Row],[hr]]&lt;21,"Evening","Night")))</f>
        <v>Morning</v>
      </c>
    </row>
    <row r="305" spans="1:11" x14ac:dyDescent="0.2">
      <c r="A305" s="1">
        <v>304</v>
      </c>
      <c r="B305" s="3">
        <v>40557</v>
      </c>
      <c r="C305" s="1">
        <v>1</v>
      </c>
      <c r="D305" s="1">
        <v>2</v>
      </c>
      <c r="E305" s="1" t="b">
        <v>0</v>
      </c>
      <c r="F305" s="1">
        <v>5</v>
      </c>
      <c r="G305" s="1">
        <v>1</v>
      </c>
      <c r="H305" s="1">
        <v>0.1</v>
      </c>
      <c r="I305" s="1" t="str">
        <f>IF(Table1[[#This Row],[weekday]]&gt;=6,"weekend","weekday")</f>
        <v>weekday</v>
      </c>
      <c r="J305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305" s="1" t="str">
        <f>IF(Table1[[#This Row],[hr]]&lt;12,"Morning",IF(Table1[[#This Row],[hr]]&lt;17,"Afternoon",IF(Table1[[#This Row],[hr]]&lt;21,"Evening","Night")))</f>
        <v>Morning</v>
      </c>
    </row>
    <row r="306" spans="1:11" x14ac:dyDescent="0.2">
      <c r="A306" s="1">
        <v>305</v>
      </c>
      <c r="B306" s="3">
        <v>40557</v>
      </c>
      <c r="C306" s="1">
        <v>1</v>
      </c>
      <c r="D306" s="1">
        <v>3</v>
      </c>
      <c r="E306" s="1" t="b">
        <v>0</v>
      </c>
      <c r="F306" s="1">
        <v>5</v>
      </c>
      <c r="G306" s="1">
        <v>1</v>
      </c>
      <c r="H306" s="1">
        <v>0.1</v>
      </c>
      <c r="I306" s="1" t="str">
        <f>IF(Table1[[#This Row],[weekday]]&gt;=6,"weekend","weekday")</f>
        <v>weekday</v>
      </c>
      <c r="J306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306" s="1" t="str">
        <f>IF(Table1[[#This Row],[hr]]&lt;12,"Morning",IF(Table1[[#This Row],[hr]]&lt;17,"Afternoon",IF(Table1[[#This Row],[hr]]&lt;21,"Evening","Night")))</f>
        <v>Morning</v>
      </c>
    </row>
    <row r="307" spans="1:11" x14ac:dyDescent="0.2">
      <c r="A307" s="1">
        <v>306</v>
      </c>
      <c r="B307" s="3">
        <v>40557</v>
      </c>
      <c r="C307" s="1">
        <v>1</v>
      </c>
      <c r="D307" s="1">
        <v>5</v>
      </c>
      <c r="E307" s="1" t="b">
        <v>0</v>
      </c>
      <c r="F307" s="1">
        <v>5</v>
      </c>
      <c r="G307" s="1">
        <v>1</v>
      </c>
      <c r="H307" s="1">
        <v>0.1</v>
      </c>
      <c r="I307" s="1" t="str">
        <f>IF(Table1[[#This Row],[weekday]]&gt;=6,"weekend","weekday")</f>
        <v>weekday</v>
      </c>
      <c r="J307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307" s="1" t="str">
        <f>IF(Table1[[#This Row],[hr]]&lt;12,"Morning",IF(Table1[[#This Row],[hr]]&lt;17,"Afternoon",IF(Table1[[#This Row],[hr]]&lt;21,"Evening","Night")))</f>
        <v>Morning</v>
      </c>
    </row>
    <row r="308" spans="1:11" x14ac:dyDescent="0.2">
      <c r="A308" s="1">
        <v>307</v>
      </c>
      <c r="B308" s="3">
        <v>40557</v>
      </c>
      <c r="C308" s="1">
        <v>1</v>
      </c>
      <c r="D308" s="1">
        <v>6</v>
      </c>
      <c r="E308" s="1" t="b">
        <v>0</v>
      </c>
      <c r="F308" s="1">
        <v>5</v>
      </c>
      <c r="G308" s="1">
        <v>1</v>
      </c>
      <c r="H308" s="1">
        <v>0.1</v>
      </c>
      <c r="I308" s="1" t="str">
        <f>IF(Table1[[#This Row],[weekday]]&gt;=6,"weekend","weekday")</f>
        <v>weekday</v>
      </c>
      <c r="J308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308" s="1" t="str">
        <f>IF(Table1[[#This Row],[hr]]&lt;12,"Morning",IF(Table1[[#This Row],[hr]]&lt;17,"Afternoon",IF(Table1[[#This Row],[hr]]&lt;21,"Evening","Night")))</f>
        <v>Morning</v>
      </c>
    </row>
    <row r="309" spans="1:11" x14ac:dyDescent="0.2">
      <c r="A309" s="1">
        <v>308</v>
      </c>
      <c r="B309" s="3">
        <v>40557</v>
      </c>
      <c r="C309" s="1">
        <v>1</v>
      </c>
      <c r="D309" s="1">
        <v>7</v>
      </c>
      <c r="E309" s="1" t="b">
        <v>0</v>
      </c>
      <c r="F309" s="1">
        <v>5</v>
      </c>
      <c r="G309" s="1">
        <v>1</v>
      </c>
      <c r="H309" s="1">
        <v>0.1</v>
      </c>
      <c r="I309" s="1" t="str">
        <f>IF(Table1[[#This Row],[weekday]]&gt;=6,"weekend","weekday")</f>
        <v>weekday</v>
      </c>
      <c r="J309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309" s="1" t="str">
        <f>IF(Table1[[#This Row],[hr]]&lt;12,"Morning",IF(Table1[[#This Row],[hr]]&lt;17,"Afternoon",IF(Table1[[#This Row],[hr]]&lt;21,"Evening","Night")))</f>
        <v>Morning</v>
      </c>
    </row>
    <row r="310" spans="1:11" x14ac:dyDescent="0.2">
      <c r="A310" s="1">
        <v>309</v>
      </c>
      <c r="B310" s="3">
        <v>40557</v>
      </c>
      <c r="C310" s="1">
        <v>1</v>
      </c>
      <c r="D310" s="1">
        <v>8</v>
      </c>
      <c r="E310" s="1" t="b">
        <v>0</v>
      </c>
      <c r="F310" s="1">
        <v>5</v>
      </c>
      <c r="G310" s="1">
        <v>1</v>
      </c>
      <c r="H310" s="1">
        <v>0.12</v>
      </c>
      <c r="I310" s="1" t="str">
        <f>IF(Table1[[#This Row],[weekday]]&gt;=6,"weekend","weekday")</f>
        <v>weekday</v>
      </c>
      <c r="J310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310" s="1" t="str">
        <f>IF(Table1[[#This Row],[hr]]&lt;12,"Morning",IF(Table1[[#This Row],[hr]]&lt;17,"Afternoon",IF(Table1[[#This Row],[hr]]&lt;21,"Evening","Night")))</f>
        <v>Morning</v>
      </c>
    </row>
    <row r="311" spans="1:11" x14ac:dyDescent="0.2">
      <c r="A311" s="1">
        <v>310</v>
      </c>
      <c r="B311" s="3">
        <v>40557</v>
      </c>
      <c r="C311" s="1">
        <v>1</v>
      </c>
      <c r="D311" s="1">
        <v>9</v>
      </c>
      <c r="E311" s="1" t="b">
        <v>0</v>
      </c>
      <c r="F311" s="1">
        <v>5</v>
      </c>
      <c r="G311" s="1">
        <v>1</v>
      </c>
      <c r="H311" s="1">
        <v>0.14000000000000001</v>
      </c>
      <c r="I311" s="1" t="str">
        <f>IF(Table1[[#This Row],[weekday]]&gt;=6,"weekend","weekday")</f>
        <v>weekday</v>
      </c>
      <c r="J311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311" s="1" t="str">
        <f>IF(Table1[[#This Row],[hr]]&lt;12,"Morning",IF(Table1[[#This Row],[hr]]&lt;17,"Afternoon",IF(Table1[[#This Row],[hr]]&lt;21,"Evening","Night")))</f>
        <v>Morning</v>
      </c>
    </row>
    <row r="312" spans="1:11" x14ac:dyDescent="0.2">
      <c r="A312" s="1">
        <v>311</v>
      </c>
      <c r="B312" s="3">
        <v>40557</v>
      </c>
      <c r="C312" s="1">
        <v>1</v>
      </c>
      <c r="D312" s="1">
        <v>10</v>
      </c>
      <c r="E312" s="1" t="b">
        <v>0</v>
      </c>
      <c r="F312" s="1">
        <v>5</v>
      </c>
      <c r="G312" s="1">
        <v>1</v>
      </c>
      <c r="H312" s="1">
        <v>0.18</v>
      </c>
      <c r="I312" s="1" t="str">
        <f>IF(Table1[[#This Row],[weekday]]&gt;=6,"weekend","weekday")</f>
        <v>weekday</v>
      </c>
      <c r="J312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312" s="1" t="str">
        <f>IF(Table1[[#This Row],[hr]]&lt;12,"Morning",IF(Table1[[#This Row],[hr]]&lt;17,"Afternoon",IF(Table1[[#This Row],[hr]]&lt;21,"Evening","Night")))</f>
        <v>Morning</v>
      </c>
    </row>
    <row r="313" spans="1:11" x14ac:dyDescent="0.2">
      <c r="A313" s="1">
        <v>312</v>
      </c>
      <c r="B313" s="3">
        <v>40557</v>
      </c>
      <c r="C313" s="1">
        <v>1</v>
      </c>
      <c r="D313" s="1">
        <v>11</v>
      </c>
      <c r="E313" s="1" t="b">
        <v>0</v>
      </c>
      <c r="F313" s="1">
        <v>5</v>
      </c>
      <c r="G313" s="1">
        <v>1</v>
      </c>
      <c r="H313" s="1">
        <v>0.18</v>
      </c>
      <c r="I313" s="1" t="str">
        <f>IF(Table1[[#This Row],[weekday]]&gt;=6,"weekend","weekday")</f>
        <v>weekday</v>
      </c>
      <c r="J313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313" s="1" t="str">
        <f>IF(Table1[[#This Row],[hr]]&lt;12,"Morning",IF(Table1[[#This Row],[hr]]&lt;17,"Afternoon",IF(Table1[[#This Row],[hr]]&lt;21,"Evening","Night")))</f>
        <v>Morning</v>
      </c>
    </row>
    <row r="314" spans="1:11" x14ac:dyDescent="0.2">
      <c r="A314" s="1">
        <v>313</v>
      </c>
      <c r="B314" s="3">
        <v>40557</v>
      </c>
      <c r="C314" s="1">
        <v>1</v>
      </c>
      <c r="D314" s="1">
        <v>12</v>
      </c>
      <c r="E314" s="1" t="b">
        <v>0</v>
      </c>
      <c r="F314" s="1">
        <v>5</v>
      </c>
      <c r="G314" s="1">
        <v>1</v>
      </c>
      <c r="H314" s="1">
        <v>0.2</v>
      </c>
      <c r="I314" s="1" t="str">
        <f>IF(Table1[[#This Row],[weekday]]&gt;=6,"weekend","weekday")</f>
        <v>weekday</v>
      </c>
      <c r="J314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314" s="1" t="str">
        <f>IF(Table1[[#This Row],[hr]]&lt;12,"Morning",IF(Table1[[#This Row],[hr]]&lt;17,"Afternoon",IF(Table1[[#This Row],[hr]]&lt;21,"Evening","Night")))</f>
        <v>Afternoon</v>
      </c>
    </row>
    <row r="315" spans="1:11" x14ac:dyDescent="0.2">
      <c r="A315" s="1">
        <v>314</v>
      </c>
      <c r="B315" s="3">
        <v>40557</v>
      </c>
      <c r="C315" s="1">
        <v>1</v>
      </c>
      <c r="D315" s="1">
        <v>13</v>
      </c>
      <c r="E315" s="1" t="b">
        <v>0</v>
      </c>
      <c r="F315" s="1">
        <v>5</v>
      </c>
      <c r="G315" s="1">
        <v>1</v>
      </c>
      <c r="H315" s="1">
        <v>0.22</v>
      </c>
      <c r="I315" s="1" t="str">
        <f>IF(Table1[[#This Row],[weekday]]&gt;=6,"weekend","weekday")</f>
        <v>weekday</v>
      </c>
      <c r="J315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315" s="1" t="str">
        <f>IF(Table1[[#This Row],[hr]]&lt;12,"Morning",IF(Table1[[#This Row],[hr]]&lt;17,"Afternoon",IF(Table1[[#This Row],[hr]]&lt;21,"Evening","Night")))</f>
        <v>Afternoon</v>
      </c>
    </row>
    <row r="316" spans="1:11" x14ac:dyDescent="0.2">
      <c r="A316" s="1">
        <v>315</v>
      </c>
      <c r="B316" s="3">
        <v>40557</v>
      </c>
      <c r="C316" s="1">
        <v>1</v>
      </c>
      <c r="D316" s="1">
        <v>14</v>
      </c>
      <c r="E316" s="1" t="b">
        <v>0</v>
      </c>
      <c r="F316" s="1">
        <v>5</v>
      </c>
      <c r="G316" s="1">
        <v>1</v>
      </c>
      <c r="H316" s="1">
        <v>0.22</v>
      </c>
      <c r="I316" s="1" t="str">
        <f>IF(Table1[[#This Row],[weekday]]&gt;=6,"weekend","weekday")</f>
        <v>weekday</v>
      </c>
      <c r="J316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316" s="1" t="str">
        <f>IF(Table1[[#This Row],[hr]]&lt;12,"Morning",IF(Table1[[#This Row],[hr]]&lt;17,"Afternoon",IF(Table1[[#This Row],[hr]]&lt;21,"Evening","Night")))</f>
        <v>Afternoon</v>
      </c>
    </row>
    <row r="317" spans="1:11" x14ac:dyDescent="0.2">
      <c r="A317" s="1">
        <v>316</v>
      </c>
      <c r="B317" s="3">
        <v>40557</v>
      </c>
      <c r="C317" s="1">
        <v>1</v>
      </c>
      <c r="D317" s="1">
        <v>15</v>
      </c>
      <c r="E317" s="1" t="b">
        <v>0</v>
      </c>
      <c r="F317" s="1">
        <v>5</v>
      </c>
      <c r="G317" s="1">
        <v>1</v>
      </c>
      <c r="H317" s="1">
        <v>0.24</v>
      </c>
      <c r="I317" s="1" t="str">
        <f>IF(Table1[[#This Row],[weekday]]&gt;=6,"weekend","weekday")</f>
        <v>weekday</v>
      </c>
      <c r="J317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317" s="1" t="str">
        <f>IF(Table1[[#This Row],[hr]]&lt;12,"Morning",IF(Table1[[#This Row],[hr]]&lt;17,"Afternoon",IF(Table1[[#This Row],[hr]]&lt;21,"Evening","Night")))</f>
        <v>Afternoon</v>
      </c>
    </row>
    <row r="318" spans="1:11" x14ac:dyDescent="0.2">
      <c r="A318" s="1">
        <v>317</v>
      </c>
      <c r="B318" s="3">
        <v>40557</v>
      </c>
      <c r="C318" s="1">
        <v>1</v>
      </c>
      <c r="D318" s="1">
        <v>16</v>
      </c>
      <c r="E318" s="1" t="b">
        <v>0</v>
      </c>
      <c r="F318" s="1">
        <v>5</v>
      </c>
      <c r="G318" s="1">
        <v>1</v>
      </c>
      <c r="H318" s="1">
        <v>0.22</v>
      </c>
      <c r="I318" s="1" t="str">
        <f>IF(Table1[[#This Row],[weekday]]&gt;=6,"weekend","weekday")</f>
        <v>weekday</v>
      </c>
      <c r="J318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318" s="1" t="str">
        <f>IF(Table1[[#This Row],[hr]]&lt;12,"Morning",IF(Table1[[#This Row],[hr]]&lt;17,"Afternoon",IF(Table1[[#This Row],[hr]]&lt;21,"Evening","Night")))</f>
        <v>Afternoon</v>
      </c>
    </row>
    <row r="319" spans="1:11" x14ac:dyDescent="0.2">
      <c r="A319" s="1">
        <v>318</v>
      </c>
      <c r="B319" s="3">
        <v>40557</v>
      </c>
      <c r="C319" s="1">
        <v>1</v>
      </c>
      <c r="D319" s="1">
        <v>17</v>
      </c>
      <c r="E319" s="1" t="b">
        <v>0</v>
      </c>
      <c r="F319" s="1">
        <v>5</v>
      </c>
      <c r="G319" s="1">
        <v>1</v>
      </c>
      <c r="H319" s="1">
        <v>0.22</v>
      </c>
      <c r="I319" s="1" t="str">
        <f>IF(Table1[[#This Row],[weekday]]&gt;=6,"weekend","weekday")</f>
        <v>weekday</v>
      </c>
      <c r="J319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319" s="1" t="str">
        <f>IF(Table1[[#This Row],[hr]]&lt;12,"Morning",IF(Table1[[#This Row],[hr]]&lt;17,"Afternoon",IF(Table1[[#This Row],[hr]]&lt;21,"Evening","Night")))</f>
        <v>Evening</v>
      </c>
    </row>
    <row r="320" spans="1:11" x14ac:dyDescent="0.2">
      <c r="A320" s="1">
        <v>319</v>
      </c>
      <c r="B320" s="3">
        <v>40557</v>
      </c>
      <c r="C320" s="1">
        <v>1</v>
      </c>
      <c r="D320" s="1">
        <v>18</v>
      </c>
      <c r="E320" s="1" t="b">
        <v>0</v>
      </c>
      <c r="F320" s="1">
        <v>5</v>
      </c>
      <c r="G320" s="1">
        <v>1</v>
      </c>
      <c r="H320" s="1">
        <v>0.2</v>
      </c>
      <c r="I320" s="1" t="str">
        <f>IF(Table1[[#This Row],[weekday]]&gt;=6,"weekend","weekday")</f>
        <v>weekday</v>
      </c>
      <c r="J320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320" s="1" t="str">
        <f>IF(Table1[[#This Row],[hr]]&lt;12,"Morning",IF(Table1[[#This Row],[hr]]&lt;17,"Afternoon",IF(Table1[[#This Row],[hr]]&lt;21,"Evening","Night")))</f>
        <v>Evening</v>
      </c>
    </row>
    <row r="321" spans="1:11" x14ac:dyDescent="0.2">
      <c r="A321" s="1">
        <v>320</v>
      </c>
      <c r="B321" s="3">
        <v>40557</v>
      </c>
      <c r="C321" s="1">
        <v>1</v>
      </c>
      <c r="D321" s="1">
        <v>19</v>
      </c>
      <c r="E321" s="1" t="b">
        <v>0</v>
      </c>
      <c r="F321" s="1">
        <v>5</v>
      </c>
      <c r="G321" s="1">
        <v>1</v>
      </c>
      <c r="H321" s="1">
        <v>0.16</v>
      </c>
      <c r="I321" s="1" t="str">
        <f>IF(Table1[[#This Row],[weekday]]&gt;=6,"weekend","weekday")</f>
        <v>weekday</v>
      </c>
      <c r="J321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321" s="1" t="str">
        <f>IF(Table1[[#This Row],[hr]]&lt;12,"Morning",IF(Table1[[#This Row],[hr]]&lt;17,"Afternoon",IF(Table1[[#This Row],[hr]]&lt;21,"Evening","Night")))</f>
        <v>Evening</v>
      </c>
    </row>
    <row r="322" spans="1:11" x14ac:dyDescent="0.2">
      <c r="A322" s="1">
        <v>321</v>
      </c>
      <c r="B322" s="3">
        <v>40557</v>
      </c>
      <c r="C322" s="1">
        <v>1</v>
      </c>
      <c r="D322" s="1">
        <v>20</v>
      </c>
      <c r="E322" s="1" t="b">
        <v>0</v>
      </c>
      <c r="F322" s="1">
        <v>5</v>
      </c>
      <c r="G322" s="1">
        <v>1</v>
      </c>
      <c r="H322" s="1">
        <v>0.18</v>
      </c>
      <c r="I322" s="1" t="str">
        <f>IF(Table1[[#This Row],[weekday]]&gt;=6,"weekend","weekday")</f>
        <v>weekday</v>
      </c>
      <c r="J322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322" s="1" t="str">
        <f>IF(Table1[[#This Row],[hr]]&lt;12,"Morning",IF(Table1[[#This Row],[hr]]&lt;17,"Afternoon",IF(Table1[[#This Row],[hr]]&lt;21,"Evening","Night")))</f>
        <v>Evening</v>
      </c>
    </row>
    <row r="323" spans="1:11" x14ac:dyDescent="0.2">
      <c r="A323" s="1">
        <v>322</v>
      </c>
      <c r="B323" s="3">
        <v>40557</v>
      </c>
      <c r="C323" s="1">
        <v>1</v>
      </c>
      <c r="D323" s="1">
        <v>21</v>
      </c>
      <c r="E323" s="1" t="b">
        <v>0</v>
      </c>
      <c r="F323" s="1">
        <v>5</v>
      </c>
      <c r="G323" s="1">
        <v>1</v>
      </c>
      <c r="H323" s="1">
        <v>0.16</v>
      </c>
      <c r="I323" s="1" t="str">
        <f>IF(Table1[[#This Row],[weekday]]&gt;=6,"weekend","weekday")</f>
        <v>weekday</v>
      </c>
      <c r="J323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323" s="1" t="str">
        <f>IF(Table1[[#This Row],[hr]]&lt;12,"Morning",IF(Table1[[#This Row],[hr]]&lt;17,"Afternoon",IF(Table1[[#This Row],[hr]]&lt;21,"Evening","Night")))</f>
        <v>Night</v>
      </c>
    </row>
    <row r="324" spans="1:11" x14ac:dyDescent="0.2">
      <c r="A324" s="1">
        <v>323</v>
      </c>
      <c r="B324" s="3">
        <v>40557</v>
      </c>
      <c r="C324" s="1">
        <v>1</v>
      </c>
      <c r="D324" s="1">
        <v>22</v>
      </c>
      <c r="E324" s="1" t="b">
        <v>0</v>
      </c>
      <c r="F324" s="1">
        <v>5</v>
      </c>
      <c r="G324" s="1">
        <v>2</v>
      </c>
      <c r="H324" s="1">
        <v>0.16</v>
      </c>
      <c r="I324" s="1" t="str">
        <f>IF(Table1[[#This Row],[weekday]]&gt;=6,"weekend","weekday")</f>
        <v>weekday</v>
      </c>
      <c r="J324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324" s="1" t="str">
        <f>IF(Table1[[#This Row],[hr]]&lt;12,"Morning",IF(Table1[[#This Row],[hr]]&lt;17,"Afternoon",IF(Table1[[#This Row],[hr]]&lt;21,"Evening","Night")))</f>
        <v>Night</v>
      </c>
    </row>
    <row r="325" spans="1:11" x14ac:dyDescent="0.2">
      <c r="A325" s="1">
        <v>324</v>
      </c>
      <c r="B325" s="3">
        <v>40557</v>
      </c>
      <c r="C325" s="1">
        <v>1</v>
      </c>
      <c r="D325" s="1">
        <v>23</v>
      </c>
      <c r="E325" s="1" t="b">
        <v>0</v>
      </c>
      <c r="F325" s="1">
        <v>5</v>
      </c>
      <c r="G325" s="1">
        <v>2</v>
      </c>
      <c r="H325" s="1">
        <v>0.18</v>
      </c>
      <c r="I325" s="1" t="str">
        <f>IF(Table1[[#This Row],[weekday]]&gt;=6,"weekend","weekday")</f>
        <v>weekday</v>
      </c>
      <c r="J325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325" s="1" t="str">
        <f>IF(Table1[[#This Row],[hr]]&lt;12,"Morning",IF(Table1[[#This Row],[hr]]&lt;17,"Afternoon",IF(Table1[[#This Row],[hr]]&lt;21,"Evening","Night")))</f>
        <v>Night</v>
      </c>
    </row>
    <row r="326" spans="1:11" x14ac:dyDescent="0.2">
      <c r="A326" s="1">
        <v>325</v>
      </c>
      <c r="B326" s="3">
        <v>40558</v>
      </c>
      <c r="C326" s="1">
        <v>1</v>
      </c>
      <c r="D326" s="1">
        <v>0</v>
      </c>
      <c r="E326" s="1" t="b">
        <v>0</v>
      </c>
      <c r="F326" s="1">
        <v>6</v>
      </c>
      <c r="G326" s="1">
        <v>1</v>
      </c>
      <c r="H326" s="1">
        <v>0.18</v>
      </c>
      <c r="I326" s="1" t="str">
        <f>IF(Table1[[#This Row],[weekday]]&gt;=6,"weekend","weekday")</f>
        <v>weekend</v>
      </c>
      <c r="J326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326" s="1" t="str">
        <f>IF(Table1[[#This Row],[hr]]&lt;12,"Morning",IF(Table1[[#This Row],[hr]]&lt;17,"Afternoon",IF(Table1[[#This Row],[hr]]&lt;21,"Evening","Night")))</f>
        <v>Morning</v>
      </c>
    </row>
    <row r="327" spans="1:11" x14ac:dyDescent="0.2">
      <c r="A327" s="1">
        <v>326</v>
      </c>
      <c r="B327" s="3">
        <v>40558</v>
      </c>
      <c r="C327" s="1">
        <v>1</v>
      </c>
      <c r="D327" s="1">
        <v>1</v>
      </c>
      <c r="E327" s="1" t="b">
        <v>0</v>
      </c>
      <c r="F327" s="1">
        <v>6</v>
      </c>
      <c r="G327" s="1">
        <v>2</v>
      </c>
      <c r="H327" s="1">
        <v>0.16</v>
      </c>
      <c r="I327" s="1" t="str">
        <f>IF(Table1[[#This Row],[weekday]]&gt;=6,"weekend","weekday")</f>
        <v>weekend</v>
      </c>
      <c r="J327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327" s="1" t="str">
        <f>IF(Table1[[#This Row],[hr]]&lt;12,"Morning",IF(Table1[[#This Row],[hr]]&lt;17,"Afternoon",IF(Table1[[#This Row],[hr]]&lt;21,"Evening","Night")))</f>
        <v>Morning</v>
      </c>
    </row>
    <row r="328" spans="1:11" x14ac:dyDescent="0.2">
      <c r="A328" s="1">
        <v>327</v>
      </c>
      <c r="B328" s="3">
        <v>40558</v>
      </c>
      <c r="C328" s="1">
        <v>1</v>
      </c>
      <c r="D328" s="1">
        <v>2</v>
      </c>
      <c r="E328" s="1" t="b">
        <v>0</v>
      </c>
      <c r="F328" s="1">
        <v>6</v>
      </c>
      <c r="G328" s="1">
        <v>2</v>
      </c>
      <c r="H328" s="1">
        <v>0.16</v>
      </c>
      <c r="I328" s="1" t="str">
        <f>IF(Table1[[#This Row],[weekday]]&gt;=6,"weekend","weekday")</f>
        <v>weekend</v>
      </c>
      <c r="J328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328" s="1" t="str">
        <f>IF(Table1[[#This Row],[hr]]&lt;12,"Morning",IF(Table1[[#This Row],[hr]]&lt;17,"Afternoon",IF(Table1[[#This Row],[hr]]&lt;21,"Evening","Night")))</f>
        <v>Morning</v>
      </c>
    </row>
    <row r="329" spans="1:11" x14ac:dyDescent="0.2">
      <c r="A329" s="1">
        <v>328</v>
      </c>
      <c r="B329" s="3">
        <v>40558</v>
      </c>
      <c r="C329" s="1">
        <v>1</v>
      </c>
      <c r="D329" s="1">
        <v>3</v>
      </c>
      <c r="E329" s="1" t="b">
        <v>0</v>
      </c>
      <c r="F329" s="1">
        <v>6</v>
      </c>
      <c r="G329" s="1">
        <v>2</v>
      </c>
      <c r="H329" s="1">
        <v>0.16</v>
      </c>
      <c r="I329" s="1" t="str">
        <f>IF(Table1[[#This Row],[weekday]]&gt;=6,"weekend","weekday")</f>
        <v>weekend</v>
      </c>
      <c r="J329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329" s="1" t="str">
        <f>IF(Table1[[#This Row],[hr]]&lt;12,"Morning",IF(Table1[[#This Row],[hr]]&lt;17,"Afternoon",IF(Table1[[#This Row],[hr]]&lt;21,"Evening","Night")))</f>
        <v>Morning</v>
      </c>
    </row>
    <row r="330" spans="1:11" x14ac:dyDescent="0.2">
      <c r="A330" s="1">
        <v>329</v>
      </c>
      <c r="B330" s="3">
        <v>40558</v>
      </c>
      <c r="C330" s="1">
        <v>1</v>
      </c>
      <c r="D330" s="1">
        <v>4</v>
      </c>
      <c r="E330" s="1" t="b">
        <v>0</v>
      </c>
      <c r="F330" s="1">
        <v>6</v>
      </c>
      <c r="G330" s="1">
        <v>2</v>
      </c>
      <c r="H330" s="1">
        <v>0.16</v>
      </c>
      <c r="I330" s="1" t="str">
        <f>IF(Table1[[#This Row],[weekday]]&gt;=6,"weekend","weekday")</f>
        <v>weekend</v>
      </c>
      <c r="J330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330" s="1" t="str">
        <f>IF(Table1[[#This Row],[hr]]&lt;12,"Morning",IF(Table1[[#This Row],[hr]]&lt;17,"Afternoon",IF(Table1[[#This Row],[hr]]&lt;21,"Evening","Night")))</f>
        <v>Morning</v>
      </c>
    </row>
    <row r="331" spans="1:11" x14ac:dyDescent="0.2">
      <c r="A331" s="1">
        <v>330</v>
      </c>
      <c r="B331" s="3">
        <v>40558</v>
      </c>
      <c r="C331" s="1">
        <v>1</v>
      </c>
      <c r="D331" s="1">
        <v>5</v>
      </c>
      <c r="E331" s="1" t="b">
        <v>0</v>
      </c>
      <c r="F331" s="1">
        <v>6</v>
      </c>
      <c r="G331" s="1">
        <v>1</v>
      </c>
      <c r="H331" s="1">
        <v>0.16</v>
      </c>
      <c r="I331" s="1" t="str">
        <f>IF(Table1[[#This Row],[weekday]]&gt;=6,"weekend","weekday")</f>
        <v>weekend</v>
      </c>
      <c r="J331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331" s="1" t="str">
        <f>IF(Table1[[#This Row],[hr]]&lt;12,"Morning",IF(Table1[[#This Row],[hr]]&lt;17,"Afternoon",IF(Table1[[#This Row],[hr]]&lt;21,"Evening","Night")))</f>
        <v>Morning</v>
      </c>
    </row>
    <row r="332" spans="1:11" x14ac:dyDescent="0.2">
      <c r="A332" s="1">
        <v>331</v>
      </c>
      <c r="B332" s="3">
        <v>40558</v>
      </c>
      <c r="C332" s="1">
        <v>1</v>
      </c>
      <c r="D332" s="1">
        <v>6</v>
      </c>
      <c r="E332" s="1" t="b">
        <v>0</v>
      </c>
      <c r="F332" s="1">
        <v>6</v>
      </c>
      <c r="G332" s="1">
        <v>1</v>
      </c>
      <c r="H332" s="1">
        <v>0.14000000000000001</v>
      </c>
      <c r="I332" s="1" t="str">
        <f>IF(Table1[[#This Row],[weekday]]&gt;=6,"weekend","weekday")</f>
        <v>weekend</v>
      </c>
      <c r="J332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332" s="1" t="str">
        <f>IF(Table1[[#This Row],[hr]]&lt;12,"Morning",IF(Table1[[#This Row],[hr]]&lt;17,"Afternoon",IF(Table1[[#This Row],[hr]]&lt;21,"Evening","Night")))</f>
        <v>Morning</v>
      </c>
    </row>
    <row r="333" spans="1:11" x14ac:dyDescent="0.2">
      <c r="A333" s="1">
        <v>332</v>
      </c>
      <c r="B333" s="3">
        <v>40558</v>
      </c>
      <c r="C333" s="1">
        <v>1</v>
      </c>
      <c r="D333" s="1">
        <v>7</v>
      </c>
      <c r="E333" s="1" t="b">
        <v>0</v>
      </c>
      <c r="F333" s="1">
        <v>6</v>
      </c>
      <c r="G333" s="1">
        <v>1</v>
      </c>
      <c r="H333" s="1">
        <v>0.14000000000000001</v>
      </c>
      <c r="I333" s="1" t="str">
        <f>IF(Table1[[#This Row],[weekday]]&gt;=6,"weekend","weekday")</f>
        <v>weekend</v>
      </c>
      <c r="J333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333" s="1" t="str">
        <f>IF(Table1[[#This Row],[hr]]&lt;12,"Morning",IF(Table1[[#This Row],[hr]]&lt;17,"Afternoon",IF(Table1[[#This Row],[hr]]&lt;21,"Evening","Night")))</f>
        <v>Morning</v>
      </c>
    </row>
    <row r="334" spans="1:11" x14ac:dyDescent="0.2">
      <c r="A334" s="1">
        <v>333</v>
      </c>
      <c r="B334" s="3">
        <v>40558</v>
      </c>
      <c r="C334" s="1">
        <v>1</v>
      </c>
      <c r="D334" s="1">
        <v>8</v>
      </c>
      <c r="E334" s="1" t="b">
        <v>0</v>
      </c>
      <c r="F334" s="1">
        <v>6</v>
      </c>
      <c r="G334" s="1">
        <v>1</v>
      </c>
      <c r="H334" s="1">
        <v>0.14000000000000001</v>
      </c>
      <c r="I334" s="1" t="str">
        <f>IF(Table1[[#This Row],[weekday]]&gt;=6,"weekend","weekday")</f>
        <v>weekend</v>
      </c>
      <c r="J334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334" s="1" t="str">
        <f>IF(Table1[[#This Row],[hr]]&lt;12,"Morning",IF(Table1[[#This Row],[hr]]&lt;17,"Afternoon",IF(Table1[[#This Row],[hr]]&lt;21,"Evening","Night")))</f>
        <v>Morning</v>
      </c>
    </row>
    <row r="335" spans="1:11" x14ac:dyDescent="0.2">
      <c r="A335" s="1">
        <v>334</v>
      </c>
      <c r="B335" s="3">
        <v>40558</v>
      </c>
      <c r="C335" s="1">
        <v>1</v>
      </c>
      <c r="D335" s="1">
        <v>9</v>
      </c>
      <c r="E335" s="1" t="b">
        <v>0</v>
      </c>
      <c r="F335" s="1">
        <v>6</v>
      </c>
      <c r="G335" s="1">
        <v>1</v>
      </c>
      <c r="H335" s="1">
        <v>0.16</v>
      </c>
      <c r="I335" s="1" t="str">
        <f>IF(Table1[[#This Row],[weekday]]&gt;=6,"weekend","weekday")</f>
        <v>weekend</v>
      </c>
      <c r="J335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335" s="1" t="str">
        <f>IF(Table1[[#This Row],[hr]]&lt;12,"Morning",IF(Table1[[#This Row],[hr]]&lt;17,"Afternoon",IF(Table1[[#This Row],[hr]]&lt;21,"Evening","Night")))</f>
        <v>Morning</v>
      </c>
    </row>
    <row r="336" spans="1:11" x14ac:dyDescent="0.2">
      <c r="A336" s="1">
        <v>335</v>
      </c>
      <c r="B336" s="3">
        <v>40558</v>
      </c>
      <c r="C336" s="1">
        <v>1</v>
      </c>
      <c r="D336" s="1">
        <v>10</v>
      </c>
      <c r="E336" s="1" t="b">
        <v>0</v>
      </c>
      <c r="F336" s="1">
        <v>6</v>
      </c>
      <c r="G336" s="1">
        <v>1</v>
      </c>
      <c r="H336" s="1">
        <v>0.18</v>
      </c>
      <c r="I336" s="1" t="str">
        <f>IF(Table1[[#This Row],[weekday]]&gt;=6,"weekend","weekday")</f>
        <v>weekend</v>
      </c>
      <c r="J336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336" s="1" t="str">
        <f>IF(Table1[[#This Row],[hr]]&lt;12,"Morning",IF(Table1[[#This Row],[hr]]&lt;17,"Afternoon",IF(Table1[[#This Row],[hr]]&lt;21,"Evening","Night")))</f>
        <v>Morning</v>
      </c>
    </row>
    <row r="337" spans="1:11" x14ac:dyDescent="0.2">
      <c r="A337" s="1">
        <v>336</v>
      </c>
      <c r="B337" s="3">
        <v>40558</v>
      </c>
      <c r="C337" s="1">
        <v>1</v>
      </c>
      <c r="D337" s="1">
        <v>11</v>
      </c>
      <c r="E337" s="1" t="b">
        <v>0</v>
      </c>
      <c r="F337" s="1">
        <v>6</v>
      </c>
      <c r="G337" s="1">
        <v>1</v>
      </c>
      <c r="H337" s="1">
        <v>0.2</v>
      </c>
      <c r="I337" s="1" t="str">
        <f>IF(Table1[[#This Row],[weekday]]&gt;=6,"weekend","weekday")</f>
        <v>weekend</v>
      </c>
      <c r="J337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337" s="1" t="str">
        <f>IF(Table1[[#This Row],[hr]]&lt;12,"Morning",IF(Table1[[#This Row],[hr]]&lt;17,"Afternoon",IF(Table1[[#This Row],[hr]]&lt;21,"Evening","Night")))</f>
        <v>Morning</v>
      </c>
    </row>
    <row r="338" spans="1:11" x14ac:dyDescent="0.2">
      <c r="A338" s="1">
        <v>337</v>
      </c>
      <c r="B338" s="3">
        <v>40558</v>
      </c>
      <c r="C338" s="1">
        <v>1</v>
      </c>
      <c r="D338" s="1">
        <v>12</v>
      </c>
      <c r="E338" s="1" t="b">
        <v>0</v>
      </c>
      <c r="F338" s="1">
        <v>6</v>
      </c>
      <c r="G338" s="1">
        <v>1</v>
      </c>
      <c r="H338" s="1">
        <v>0.24</v>
      </c>
      <c r="I338" s="1" t="str">
        <f>IF(Table1[[#This Row],[weekday]]&gt;=6,"weekend","weekday")</f>
        <v>weekend</v>
      </c>
      <c r="J338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338" s="1" t="str">
        <f>IF(Table1[[#This Row],[hr]]&lt;12,"Morning",IF(Table1[[#This Row],[hr]]&lt;17,"Afternoon",IF(Table1[[#This Row],[hr]]&lt;21,"Evening","Night")))</f>
        <v>Afternoon</v>
      </c>
    </row>
    <row r="339" spans="1:11" x14ac:dyDescent="0.2">
      <c r="A339" s="1">
        <v>338</v>
      </c>
      <c r="B339" s="3">
        <v>40558</v>
      </c>
      <c r="C339" s="1">
        <v>1</v>
      </c>
      <c r="D339" s="1">
        <v>13</v>
      </c>
      <c r="E339" s="1" t="b">
        <v>0</v>
      </c>
      <c r="F339" s="1">
        <v>6</v>
      </c>
      <c r="G339" s="1">
        <v>1</v>
      </c>
      <c r="H339" s="1">
        <v>0.28000000000000003</v>
      </c>
      <c r="I339" s="1" t="str">
        <f>IF(Table1[[#This Row],[weekday]]&gt;=6,"weekend","weekday")</f>
        <v>weekend</v>
      </c>
      <c r="J339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339" s="1" t="str">
        <f>IF(Table1[[#This Row],[hr]]&lt;12,"Morning",IF(Table1[[#This Row],[hr]]&lt;17,"Afternoon",IF(Table1[[#This Row],[hr]]&lt;21,"Evening","Night")))</f>
        <v>Afternoon</v>
      </c>
    </row>
    <row r="340" spans="1:11" x14ac:dyDescent="0.2">
      <c r="A340" s="1">
        <v>339</v>
      </c>
      <c r="B340" s="3">
        <v>40558</v>
      </c>
      <c r="C340" s="1">
        <v>1</v>
      </c>
      <c r="D340" s="1">
        <v>14</v>
      </c>
      <c r="E340" s="1" t="b">
        <v>0</v>
      </c>
      <c r="F340" s="1">
        <v>6</v>
      </c>
      <c r="G340" s="1">
        <v>1</v>
      </c>
      <c r="H340" s="1">
        <v>0.3</v>
      </c>
      <c r="I340" s="1" t="str">
        <f>IF(Table1[[#This Row],[weekday]]&gt;=6,"weekend","weekday")</f>
        <v>weekend</v>
      </c>
      <c r="J340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340" s="1" t="str">
        <f>IF(Table1[[#This Row],[hr]]&lt;12,"Morning",IF(Table1[[#This Row],[hr]]&lt;17,"Afternoon",IF(Table1[[#This Row],[hr]]&lt;21,"Evening","Night")))</f>
        <v>Afternoon</v>
      </c>
    </row>
    <row r="341" spans="1:11" x14ac:dyDescent="0.2">
      <c r="A341" s="1">
        <v>340</v>
      </c>
      <c r="B341" s="3">
        <v>40558</v>
      </c>
      <c r="C341" s="1">
        <v>1</v>
      </c>
      <c r="D341" s="1">
        <v>15</v>
      </c>
      <c r="E341" s="1" t="b">
        <v>0</v>
      </c>
      <c r="F341" s="1">
        <v>6</v>
      </c>
      <c r="G341" s="1">
        <v>2</v>
      </c>
      <c r="H341" s="1">
        <v>0.32</v>
      </c>
      <c r="I341" s="1" t="str">
        <f>IF(Table1[[#This Row],[weekday]]&gt;=6,"weekend","weekday")</f>
        <v>weekend</v>
      </c>
      <c r="J341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341" s="1" t="str">
        <f>IF(Table1[[#This Row],[hr]]&lt;12,"Morning",IF(Table1[[#This Row],[hr]]&lt;17,"Afternoon",IF(Table1[[#This Row],[hr]]&lt;21,"Evening","Night")))</f>
        <v>Afternoon</v>
      </c>
    </row>
    <row r="342" spans="1:11" x14ac:dyDescent="0.2">
      <c r="A342" s="1">
        <v>341</v>
      </c>
      <c r="B342" s="3">
        <v>40558</v>
      </c>
      <c r="C342" s="1">
        <v>1</v>
      </c>
      <c r="D342" s="1">
        <v>16</v>
      </c>
      <c r="E342" s="1" t="b">
        <v>0</v>
      </c>
      <c r="F342" s="1">
        <v>6</v>
      </c>
      <c r="G342" s="1">
        <v>2</v>
      </c>
      <c r="H342" s="1">
        <v>0.34</v>
      </c>
      <c r="I342" s="1" t="str">
        <f>IF(Table1[[#This Row],[weekday]]&gt;=6,"weekend","weekday")</f>
        <v>weekend</v>
      </c>
      <c r="J342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342" s="1" t="str">
        <f>IF(Table1[[#This Row],[hr]]&lt;12,"Morning",IF(Table1[[#This Row],[hr]]&lt;17,"Afternoon",IF(Table1[[#This Row],[hr]]&lt;21,"Evening","Night")))</f>
        <v>Afternoon</v>
      </c>
    </row>
    <row r="343" spans="1:11" x14ac:dyDescent="0.2">
      <c r="A343" s="1">
        <v>342</v>
      </c>
      <c r="B343" s="3">
        <v>40558</v>
      </c>
      <c r="C343" s="1">
        <v>1</v>
      </c>
      <c r="D343" s="1">
        <v>17</v>
      </c>
      <c r="E343" s="1" t="b">
        <v>0</v>
      </c>
      <c r="F343" s="1">
        <v>6</v>
      </c>
      <c r="G343" s="1">
        <v>2</v>
      </c>
      <c r="H343" s="1">
        <v>0.32</v>
      </c>
      <c r="I343" s="1" t="str">
        <f>IF(Table1[[#This Row],[weekday]]&gt;=6,"weekend","weekday")</f>
        <v>weekend</v>
      </c>
      <c r="J343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343" s="1" t="str">
        <f>IF(Table1[[#This Row],[hr]]&lt;12,"Morning",IF(Table1[[#This Row],[hr]]&lt;17,"Afternoon",IF(Table1[[#This Row],[hr]]&lt;21,"Evening","Night")))</f>
        <v>Evening</v>
      </c>
    </row>
    <row r="344" spans="1:11" x14ac:dyDescent="0.2">
      <c r="A344" s="1">
        <v>343</v>
      </c>
      <c r="B344" s="3">
        <v>40558</v>
      </c>
      <c r="C344" s="1">
        <v>1</v>
      </c>
      <c r="D344" s="1">
        <v>18</v>
      </c>
      <c r="E344" s="1" t="b">
        <v>0</v>
      </c>
      <c r="F344" s="1">
        <v>6</v>
      </c>
      <c r="G344" s="1">
        <v>2</v>
      </c>
      <c r="H344" s="1">
        <v>0.3</v>
      </c>
      <c r="I344" s="1" t="str">
        <f>IF(Table1[[#This Row],[weekday]]&gt;=6,"weekend","weekday")</f>
        <v>weekend</v>
      </c>
      <c r="J344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344" s="1" t="str">
        <f>IF(Table1[[#This Row],[hr]]&lt;12,"Morning",IF(Table1[[#This Row],[hr]]&lt;17,"Afternoon",IF(Table1[[#This Row],[hr]]&lt;21,"Evening","Night")))</f>
        <v>Evening</v>
      </c>
    </row>
    <row r="345" spans="1:11" x14ac:dyDescent="0.2">
      <c r="A345" s="1">
        <v>344</v>
      </c>
      <c r="B345" s="3">
        <v>40558</v>
      </c>
      <c r="C345" s="1">
        <v>1</v>
      </c>
      <c r="D345" s="1">
        <v>19</v>
      </c>
      <c r="E345" s="1" t="b">
        <v>0</v>
      </c>
      <c r="F345" s="1">
        <v>6</v>
      </c>
      <c r="G345" s="1">
        <v>2</v>
      </c>
      <c r="H345" s="1">
        <v>0.32</v>
      </c>
      <c r="I345" s="1" t="str">
        <f>IF(Table1[[#This Row],[weekday]]&gt;=6,"weekend","weekday")</f>
        <v>weekend</v>
      </c>
      <c r="J345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345" s="1" t="str">
        <f>IF(Table1[[#This Row],[hr]]&lt;12,"Morning",IF(Table1[[#This Row],[hr]]&lt;17,"Afternoon",IF(Table1[[#This Row],[hr]]&lt;21,"Evening","Night")))</f>
        <v>Evening</v>
      </c>
    </row>
    <row r="346" spans="1:11" x14ac:dyDescent="0.2">
      <c r="A346" s="1">
        <v>345</v>
      </c>
      <c r="B346" s="3">
        <v>40558</v>
      </c>
      <c r="C346" s="1">
        <v>1</v>
      </c>
      <c r="D346" s="1">
        <v>20</v>
      </c>
      <c r="E346" s="1" t="b">
        <v>0</v>
      </c>
      <c r="F346" s="1">
        <v>6</v>
      </c>
      <c r="G346" s="1">
        <v>2</v>
      </c>
      <c r="H346" s="1">
        <v>0.32</v>
      </c>
      <c r="I346" s="1" t="str">
        <f>IF(Table1[[#This Row],[weekday]]&gt;=6,"weekend","weekday")</f>
        <v>weekend</v>
      </c>
      <c r="J346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346" s="1" t="str">
        <f>IF(Table1[[#This Row],[hr]]&lt;12,"Morning",IF(Table1[[#This Row],[hr]]&lt;17,"Afternoon",IF(Table1[[#This Row],[hr]]&lt;21,"Evening","Night")))</f>
        <v>Evening</v>
      </c>
    </row>
    <row r="347" spans="1:11" x14ac:dyDescent="0.2">
      <c r="A347" s="1">
        <v>346</v>
      </c>
      <c r="B347" s="3">
        <v>40558</v>
      </c>
      <c r="C347" s="1">
        <v>1</v>
      </c>
      <c r="D347" s="1">
        <v>21</v>
      </c>
      <c r="E347" s="1" t="b">
        <v>0</v>
      </c>
      <c r="F347" s="1">
        <v>6</v>
      </c>
      <c r="G347" s="1">
        <v>2</v>
      </c>
      <c r="H347" s="1">
        <v>0.32</v>
      </c>
      <c r="I347" s="1" t="str">
        <f>IF(Table1[[#This Row],[weekday]]&gt;=6,"weekend","weekday")</f>
        <v>weekend</v>
      </c>
      <c r="J347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347" s="1" t="str">
        <f>IF(Table1[[#This Row],[hr]]&lt;12,"Morning",IF(Table1[[#This Row],[hr]]&lt;17,"Afternoon",IF(Table1[[#This Row],[hr]]&lt;21,"Evening","Night")))</f>
        <v>Night</v>
      </c>
    </row>
    <row r="348" spans="1:11" x14ac:dyDescent="0.2">
      <c r="A348" s="1">
        <v>347</v>
      </c>
      <c r="B348" s="3">
        <v>40558</v>
      </c>
      <c r="C348" s="1">
        <v>1</v>
      </c>
      <c r="D348" s="1">
        <v>22</v>
      </c>
      <c r="E348" s="1" t="b">
        <v>0</v>
      </c>
      <c r="F348" s="1">
        <v>6</v>
      </c>
      <c r="G348" s="1">
        <v>2</v>
      </c>
      <c r="H348" s="1">
        <v>0.3</v>
      </c>
      <c r="I348" s="1" t="str">
        <f>IF(Table1[[#This Row],[weekday]]&gt;=6,"weekend","weekday")</f>
        <v>weekend</v>
      </c>
      <c r="J348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348" s="1" t="str">
        <f>IF(Table1[[#This Row],[hr]]&lt;12,"Morning",IF(Table1[[#This Row],[hr]]&lt;17,"Afternoon",IF(Table1[[#This Row],[hr]]&lt;21,"Evening","Night")))</f>
        <v>Night</v>
      </c>
    </row>
    <row r="349" spans="1:11" x14ac:dyDescent="0.2">
      <c r="A349" s="1">
        <v>348</v>
      </c>
      <c r="B349" s="3">
        <v>40558</v>
      </c>
      <c r="C349" s="1">
        <v>1</v>
      </c>
      <c r="D349" s="1">
        <v>23</v>
      </c>
      <c r="E349" s="1" t="b">
        <v>0</v>
      </c>
      <c r="F349" s="1">
        <v>6</v>
      </c>
      <c r="G349" s="1">
        <v>1</v>
      </c>
      <c r="H349" s="1">
        <v>0.3</v>
      </c>
      <c r="I349" s="1" t="str">
        <f>IF(Table1[[#This Row],[weekday]]&gt;=6,"weekend","weekday")</f>
        <v>weekend</v>
      </c>
      <c r="J349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349" s="1" t="str">
        <f>IF(Table1[[#This Row],[hr]]&lt;12,"Morning",IF(Table1[[#This Row],[hr]]&lt;17,"Afternoon",IF(Table1[[#This Row],[hr]]&lt;21,"Evening","Night")))</f>
        <v>Night</v>
      </c>
    </row>
    <row r="350" spans="1:11" x14ac:dyDescent="0.2">
      <c r="A350" s="1">
        <v>349</v>
      </c>
      <c r="B350" s="3">
        <v>40559</v>
      </c>
      <c r="C350" s="1">
        <v>1</v>
      </c>
      <c r="D350" s="1">
        <v>0</v>
      </c>
      <c r="E350" s="1" t="b">
        <v>0</v>
      </c>
      <c r="F350" s="1">
        <v>0</v>
      </c>
      <c r="G350" s="1">
        <v>1</v>
      </c>
      <c r="H350" s="1">
        <v>0.26</v>
      </c>
      <c r="I350" s="1" t="str">
        <f>IF(Table1[[#This Row],[weekday]]&gt;=6,"weekend","weekday")</f>
        <v>weekday</v>
      </c>
      <c r="J350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350" s="1" t="str">
        <f>IF(Table1[[#This Row],[hr]]&lt;12,"Morning",IF(Table1[[#This Row],[hr]]&lt;17,"Afternoon",IF(Table1[[#This Row],[hr]]&lt;21,"Evening","Night")))</f>
        <v>Morning</v>
      </c>
    </row>
    <row r="351" spans="1:11" x14ac:dyDescent="0.2">
      <c r="A351" s="1">
        <v>350</v>
      </c>
      <c r="B351" s="3">
        <v>40559</v>
      </c>
      <c r="C351" s="1">
        <v>1</v>
      </c>
      <c r="D351" s="1">
        <v>1</v>
      </c>
      <c r="E351" s="1" t="b">
        <v>0</v>
      </c>
      <c r="F351" s="1">
        <v>0</v>
      </c>
      <c r="G351" s="1">
        <v>1</v>
      </c>
      <c r="H351" s="1">
        <v>0.26</v>
      </c>
      <c r="I351" s="1" t="str">
        <f>IF(Table1[[#This Row],[weekday]]&gt;=6,"weekend","weekday")</f>
        <v>weekday</v>
      </c>
      <c r="J351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351" s="1" t="str">
        <f>IF(Table1[[#This Row],[hr]]&lt;12,"Morning",IF(Table1[[#This Row],[hr]]&lt;17,"Afternoon",IF(Table1[[#This Row],[hr]]&lt;21,"Evening","Night")))</f>
        <v>Morning</v>
      </c>
    </row>
    <row r="352" spans="1:11" x14ac:dyDescent="0.2">
      <c r="A352" s="1">
        <v>351</v>
      </c>
      <c r="B352" s="3">
        <v>40559</v>
      </c>
      <c r="C352" s="1">
        <v>1</v>
      </c>
      <c r="D352" s="1">
        <v>2</v>
      </c>
      <c r="E352" s="1" t="b">
        <v>0</v>
      </c>
      <c r="F352" s="1">
        <v>0</v>
      </c>
      <c r="G352" s="1">
        <v>1</v>
      </c>
      <c r="H352" s="1">
        <v>0.26</v>
      </c>
      <c r="I352" s="1" t="str">
        <f>IF(Table1[[#This Row],[weekday]]&gt;=6,"weekend","weekday")</f>
        <v>weekday</v>
      </c>
      <c r="J352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352" s="1" t="str">
        <f>IF(Table1[[#This Row],[hr]]&lt;12,"Morning",IF(Table1[[#This Row],[hr]]&lt;17,"Afternoon",IF(Table1[[#This Row],[hr]]&lt;21,"Evening","Night")))</f>
        <v>Morning</v>
      </c>
    </row>
    <row r="353" spans="1:11" x14ac:dyDescent="0.2">
      <c r="A353" s="1">
        <v>352</v>
      </c>
      <c r="B353" s="3">
        <v>40559</v>
      </c>
      <c r="C353" s="1">
        <v>1</v>
      </c>
      <c r="D353" s="1">
        <v>3</v>
      </c>
      <c r="E353" s="1" t="b">
        <v>0</v>
      </c>
      <c r="F353" s="1">
        <v>0</v>
      </c>
      <c r="G353" s="1">
        <v>1</v>
      </c>
      <c r="H353" s="1">
        <v>0.22</v>
      </c>
      <c r="I353" s="1" t="str">
        <f>IF(Table1[[#This Row],[weekday]]&gt;=6,"weekend","weekday")</f>
        <v>weekday</v>
      </c>
      <c r="J353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353" s="1" t="str">
        <f>IF(Table1[[#This Row],[hr]]&lt;12,"Morning",IF(Table1[[#This Row],[hr]]&lt;17,"Afternoon",IF(Table1[[#This Row],[hr]]&lt;21,"Evening","Night")))</f>
        <v>Morning</v>
      </c>
    </row>
    <row r="354" spans="1:11" x14ac:dyDescent="0.2">
      <c r="A354" s="1">
        <v>353</v>
      </c>
      <c r="B354" s="3">
        <v>40559</v>
      </c>
      <c r="C354" s="1">
        <v>1</v>
      </c>
      <c r="D354" s="1">
        <v>4</v>
      </c>
      <c r="E354" s="1" t="b">
        <v>0</v>
      </c>
      <c r="F354" s="1">
        <v>0</v>
      </c>
      <c r="G354" s="1">
        <v>1</v>
      </c>
      <c r="H354" s="1">
        <v>0.26</v>
      </c>
      <c r="I354" s="1" t="str">
        <f>IF(Table1[[#This Row],[weekday]]&gt;=6,"weekend","weekday")</f>
        <v>weekday</v>
      </c>
      <c r="J354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354" s="1" t="str">
        <f>IF(Table1[[#This Row],[hr]]&lt;12,"Morning",IF(Table1[[#This Row],[hr]]&lt;17,"Afternoon",IF(Table1[[#This Row],[hr]]&lt;21,"Evening","Night")))</f>
        <v>Morning</v>
      </c>
    </row>
    <row r="355" spans="1:11" x14ac:dyDescent="0.2">
      <c r="A355" s="1">
        <v>354</v>
      </c>
      <c r="B355" s="3">
        <v>40559</v>
      </c>
      <c r="C355" s="1">
        <v>1</v>
      </c>
      <c r="D355" s="1">
        <v>5</v>
      </c>
      <c r="E355" s="1" t="b">
        <v>0</v>
      </c>
      <c r="F355" s="1">
        <v>0</v>
      </c>
      <c r="G355" s="1">
        <v>2</v>
      </c>
      <c r="H355" s="1">
        <v>0.26</v>
      </c>
      <c r="I355" s="1" t="str">
        <f>IF(Table1[[#This Row],[weekday]]&gt;=6,"weekend","weekday")</f>
        <v>weekday</v>
      </c>
      <c r="J355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355" s="1" t="str">
        <f>IF(Table1[[#This Row],[hr]]&lt;12,"Morning",IF(Table1[[#This Row],[hr]]&lt;17,"Afternoon",IF(Table1[[#This Row],[hr]]&lt;21,"Evening","Night")))</f>
        <v>Morning</v>
      </c>
    </row>
    <row r="356" spans="1:11" x14ac:dyDescent="0.2">
      <c r="A356" s="1">
        <v>355</v>
      </c>
      <c r="B356" s="3">
        <v>40559</v>
      </c>
      <c r="C356" s="1">
        <v>1</v>
      </c>
      <c r="D356" s="1">
        <v>6</v>
      </c>
      <c r="E356" s="1" t="b">
        <v>0</v>
      </c>
      <c r="F356" s="1">
        <v>0</v>
      </c>
      <c r="G356" s="1">
        <v>2</v>
      </c>
      <c r="H356" s="1">
        <v>0.26</v>
      </c>
      <c r="I356" s="1" t="str">
        <f>IF(Table1[[#This Row],[weekday]]&gt;=6,"weekend","weekday")</f>
        <v>weekday</v>
      </c>
      <c r="J356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356" s="1" t="str">
        <f>IF(Table1[[#This Row],[hr]]&lt;12,"Morning",IF(Table1[[#This Row],[hr]]&lt;17,"Afternoon",IF(Table1[[#This Row],[hr]]&lt;21,"Evening","Night")))</f>
        <v>Morning</v>
      </c>
    </row>
    <row r="357" spans="1:11" x14ac:dyDescent="0.2">
      <c r="A357" s="1">
        <v>356</v>
      </c>
      <c r="B357" s="3">
        <v>40559</v>
      </c>
      <c r="C357" s="1">
        <v>1</v>
      </c>
      <c r="D357" s="1">
        <v>7</v>
      </c>
      <c r="E357" s="1" t="b">
        <v>0</v>
      </c>
      <c r="F357" s="1">
        <v>0</v>
      </c>
      <c r="G357" s="1">
        <v>2</v>
      </c>
      <c r="H357" s="1">
        <v>0.24</v>
      </c>
      <c r="I357" s="1" t="str">
        <f>IF(Table1[[#This Row],[weekday]]&gt;=6,"weekend","weekday")</f>
        <v>weekday</v>
      </c>
      <c r="J357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357" s="1" t="str">
        <f>IF(Table1[[#This Row],[hr]]&lt;12,"Morning",IF(Table1[[#This Row],[hr]]&lt;17,"Afternoon",IF(Table1[[#This Row],[hr]]&lt;21,"Evening","Night")))</f>
        <v>Morning</v>
      </c>
    </row>
    <row r="358" spans="1:11" x14ac:dyDescent="0.2">
      <c r="A358" s="1">
        <v>357</v>
      </c>
      <c r="B358" s="3">
        <v>40559</v>
      </c>
      <c r="C358" s="1">
        <v>1</v>
      </c>
      <c r="D358" s="1">
        <v>8</v>
      </c>
      <c r="E358" s="1" t="b">
        <v>0</v>
      </c>
      <c r="F358" s="1">
        <v>0</v>
      </c>
      <c r="G358" s="1">
        <v>1</v>
      </c>
      <c r="H358" s="1">
        <v>0.22</v>
      </c>
      <c r="I358" s="1" t="str">
        <f>IF(Table1[[#This Row],[weekday]]&gt;=6,"weekend","weekday")</f>
        <v>weekday</v>
      </c>
      <c r="J358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358" s="1" t="str">
        <f>IF(Table1[[#This Row],[hr]]&lt;12,"Morning",IF(Table1[[#This Row],[hr]]&lt;17,"Afternoon",IF(Table1[[#This Row],[hr]]&lt;21,"Evening","Night")))</f>
        <v>Morning</v>
      </c>
    </row>
    <row r="359" spans="1:11" x14ac:dyDescent="0.2">
      <c r="A359" s="1">
        <v>358</v>
      </c>
      <c r="B359" s="3">
        <v>40559</v>
      </c>
      <c r="C359" s="1">
        <v>1</v>
      </c>
      <c r="D359" s="1">
        <v>9</v>
      </c>
      <c r="E359" s="1" t="b">
        <v>0</v>
      </c>
      <c r="F359" s="1">
        <v>0</v>
      </c>
      <c r="G359" s="1">
        <v>1</v>
      </c>
      <c r="H359" s="1">
        <v>0.22</v>
      </c>
      <c r="I359" s="1" t="str">
        <f>IF(Table1[[#This Row],[weekday]]&gt;=6,"weekend","weekday")</f>
        <v>weekday</v>
      </c>
      <c r="J359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359" s="1" t="str">
        <f>IF(Table1[[#This Row],[hr]]&lt;12,"Morning",IF(Table1[[#This Row],[hr]]&lt;17,"Afternoon",IF(Table1[[#This Row],[hr]]&lt;21,"Evening","Night")))</f>
        <v>Morning</v>
      </c>
    </row>
    <row r="360" spans="1:11" x14ac:dyDescent="0.2">
      <c r="A360" s="1">
        <v>359</v>
      </c>
      <c r="B360" s="3">
        <v>40559</v>
      </c>
      <c r="C360" s="1">
        <v>1</v>
      </c>
      <c r="D360" s="1">
        <v>10</v>
      </c>
      <c r="E360" s="1" t="b">
        <v>0</v>
      </c>
      <c r="F360" s="1">
        <v>0</v>
      </c>
      <c r="G360" s="1">
        <v>1</v>
      </c>
      <c r="H360" s="1">
        <v>0.22</v>
      </c>
      <c r="I360" s="1" t="str">
        <f>IF(Table1[[#This Row],[weekday]]&gt;=6,"weekend","weekday")</f>
        <v>weekday</v>
      </c>
      <c r="J360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360" s="1" t="str">
        <f>IF(Table1[[#This Row],[hr]]&lt;12,"Morning",IF(Table1[[#This Row],[hr]]&lt;17,"Afternoon",IF(Table1[[#This Row],[hr]]&lt;21,"Evening","Night")))</f>
        <v>Morning</v>
      </c>
    </row>
    <row r="361" spans="1:11" x14ac:dyDescent="0.2">
      <c r="A361" s="1">
        <v>360</v>
      </c>
      <c r="B361" s="3">
        <v>40559</v>
      </c>
      <c r="C361" s="1">
        <v>1</v>
      </c>
      <c r="D361" s="1">
        <v>11</v>
      </c>
      <c r="E361" s="1" t="b">
        <v>0</v>
      </c>
      <c r="F361" s="1">
        <v>0</v>
      </c>
      <c r="G361" s="1">
        <v>1</v>
      </c>
      <c r="H361" s="1">
        <v>0.24</v>
      </c>
      <c r="I361" s="1" t="str">
        <f>IF(Table1[[#This Row],[weekday]]&gt;=6,"weekend","weekday")</f>
        <v>weekday</v>
      </c>
      <c r="J361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361" s="1" t="str">
        <f>IF(Table1[[#This Row],[hr]]&lt;12,"Morning",IF(Table1[[#This Row],[hr]]&lt;17,"Afternoon",IF(Table1[[#This Row],[hr]]&lt;21,"Evening","Night")))</f>
        <v>Morning</v>
      </c>
    </row>
    <row r="362" spans="1:11" x14ac:dyDescent="0.2">
      <c r="A362" s="1">
        <v>361</v>
      </c>
      <c r="B362" s="3">
        <v>40559</v>
      </c>
      <c r="C362" s="1">
        <v>1</v>
      </c>
      <c r="D362" s="1">
        <v>12</v>
      </c>
      <c r="E362" s="1" t="b">
        <v>0</v>
      </c>
      <c r="F362" s="1">
        <v>0</v>
      </c>
      <c r="G362" s="1">
        <v>1</v>
      </c>
      <c r="H362" s="1">
        <v>0.24</v>
      </c>
      <c r="I362" s="1" t="str">
        <f>IF(Table1[[#This Row],[weekday]]&gt;=6,"weekend","weekday")</f>
        <v>weekday</v>
      </c>
      <c r="J362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362" s="1" t="str">
        <f>IF(Table1[[#This Row],[hr]]&lt;12,"Morning",IF(Table1[[#This Row],[hr]]&lt;17,"Afternoon",IF(Table1[[#This Row],[hr]]&lt;21,"Evening","Night")))</f>
        <v>Afternoon</v>
      </c>
    </row>
    <row r="363" spans="1:11" x14ac:dyDescent="0.2">
      <c r="A363" s="1">
        <v>362</v>
      </c>
      <c r="B363" s="3">
        <v>40559</v>
      </c>
      <c r="C363" s="1">
        <v>1</v>
      </c>
      <c r="D363" s="1">
        <v>13</v>
      </c>
      <c r="E363" s="1" t="b">
        <v>0</v>
      </c>
      <c r="F363" s="1">
        <v>0</v>
      </c>
      <c r="G363" s="1">
        <v>1</v>
      </c>
      <c r="H363" s="1">
        <v>0.26</v>
      </c>
      <c r="I363" s="1" t="str">
        <f>IF(Table1[[#This Row],[weekday]]&gt;=6,"weekend","weekday")</f>
        <v>weekday</v>
      </c>
      <c r="J363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363" s="1" t="str">
        <f>IF(Table1[[#This Row],[hr]]&lt;12,"Morning",IF(Table1[[#This Row],[hr]]&lt;17,"Afternoon",IF(Table1[[#This Row],[hr]]&lt;21,"Evening","Night")))</f>
        <v>Afternoon</v>
      </c>
    </row>
    <row r="364" spans="1:11" x14ac:dyDescent="0.2">
      <c r="A364" s="1">
        <v>363</v>
      </c>
      <c r="B364" s="3">
        <v>40559</v>
      </c>
      <c r="C364" s="1">
        <v>1</v>
      </c>
      <c r="D364" s="1">
        <v>14</v>
      </c>
      <c r="E364" s="1" t="b">
        <v>0</v>
      </c>
      <c r="F364" s="1">
        <v>0</v>
      </c>
      <c r="G364" s="1">
        <v>1</v>
      </c>
      <c r="H364" s="1">
        <v>0.28000000000000003</v>
      </c>
      <c r="I364" s="1" t="str">
        <f>IF(Table1[[#This Row],[weekday]]&gt;=6,"weekend","weekday")</f>
        <v>weekday</v>
      </c>
      <c r="J364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364" s="1" t="str">
        <f>IF(Table1[[#This Row],[hr]]&lt;12,"Morning",IF(Table1[[#This Row],[hr]]&lt;17,"Afternoon",IF(Table1[[#This Row],[hr]]&lt;21,"Evening","Night")))</f>
        <v>Afternoon</v>
      </c>
    </row>
    <row r="365" spans="1:11" x14ac:dyDescent="0.2">
      <c r="A365" s="1">
        <v>364</v>
      </c>
      <c r="B365" s="3">
        <v>40559</v>
      </c>
      <c r="C365" s="1">
        <v>1</v>
      </c>
      <c r="D365" s="1">
        <v>15</v>
      </c>
      <c r="E365" s="1" t="b">
        <v>0</v>
      </c>
      <c r="F365" s="1">
        <v>0</v>
      </c>
      <c r="G365" s="1">
        <v>1</v>
      </c>
      <c r="H365" s="1">
        <v>0.26</v>
      </c>
      <c r="I365" s="1" t="str">
        <f>IF(Table1[[#This Row],[weekday]]&gt;=6,"weekend","weekday")</f>
        <v>weekday</v>
      </c>
      <c r="J365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365" s="1" t="str">
        <f>IF(Table1[[#This Row],[hr]]&lt;12,"Morning",IF(Table1[[#This Row],[hr]]&lt;17,"Afternoon",IF(Table1[[#This Row],[hr]]&lt;21,"Evening","Night")))</f>
        <v>Afternoon</v>
      </c>
    </row>
    <row r="366" spans="1:11" x14ac:dyDescent="0.2">
      <c r="A366" s="1">
        <v>365</v>
      </c>
      <c r="B366" s="3">
        <v>40559</v>
      </c>
      <c r="C366" s="1">
        <v>1</v>
      </c>
      <c r="D366" s="1">
        <v>16</v>
      </c>
      <c r="E366" s="1" t="b">
        <v>0</v>
      </c>
      <c r="F366" s="1">
        <v>0</v>
      </c>
      <c r="G366" s="1">
        <v>1</v>
      </c>
      <c r="H366" s="1">
        <v>0.24</v>
      </c>
      <c r="I366" s="1" t="str">
        <f>IF(Table1[[#This Row],[weekday]]&gt;=6,"weekend","weekday")</f>
        <v>weekday</v>
      </c>
      <c r="J366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366" s="1" t="str">
        <f>IF(Table1[[#This Row],[hr]]&lt;12,"Morning",IF(Table1[[#This Row],[hr]]&lt;17,"Afternoon",IF(Table1[[#This Row],[hr]]&lt;21,"Evening","Night")))</f>
        <v>Afternoon</v>
      </c>
    </row>
    <row r="367" spans="1:11" x14ac:dyDescent="0.2">
      <c r="A367" s="1">
        <v>366</v>
      </c>
      <c r="B367" s="3">
        <v>40559</v>
      </c>
      <c r="C367" s="1">
        <v>1</v>
      </c>
      <c r="D367" s="1">
        <v>17</v>
      </c>
      <c r="E367" s="1" t="b">
        <v>0</v>
      </c>
      <c r="F367" s="1">
        <v>0</v>
      </c>
      <c r="G367" s="1">
        <v>1</v>
      </c>
      <c r="H367" s="1">
        <v>0.22</v>
      </c>
      <c r="I367" s="1" t="str">
        <f>IF(Table1[[#This Row],[weekday]]&gt;=6,"weekend","weekday")</f>
        <v>weekday</v>
      </c>
      <c r="J367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367" s="1" t="str">
        <f>IF(Table1[[#This Row],[hr]]&lt;12,"Morning",IF(Table1[[#This Row],[hr]]&lt;17,"Afternoon",IF(Table1[[#This Row],[hr]]&lt;21,"Evening","Night")))</f>
        <v>Evening</v>
      </c>
    </row>
    <row r="368" spans="1:11" x14ac:dyDescent="0.2">
      <c r="A368" s="1">
        <v>367</v>
      </c>
      <c r="B368" s="3">
        <v>40559</v>
      </c>
      <c r="C368" s="1">
        <v>1</v>
      </c>
      <c r="D368" s="1">
        <v>18</v>
      </c>
      <c r="E368" s="1" t="b">
        <v>0</v>
      </c>
      <c r="F368" s="1">
        <v>0</v>
      </c>
      <c r="G368" s="1">
        <v>1</v>
      </c>
      <c r="H368" s="1">
        <v>0.2</v>
      </c>
      <c r="I368" s="1" t="str">
        <f>IF(Table1[[#This Row],[weekday]]&gt;=6,"weekend","weekday")</f>
        <v>weekday</v>
      </c>
      <c r="J368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368" s="1" t="str">
        <f>IF(Table1[[#This Row],[hr]]&lt;12,"Morning",IF(Table1[[#This Row],[hr]]&lt;17,"Afternoon",IF(Table1[[#This Row],[hr]]&lt;21,"Evening","Night")))</f>
        <v>Evening</v>
      </c>
    </row>
    <row r="369" spans="1:11" x14ac:dyDescent="0.2">
      <c r="A369" s="1">
        <v>368</v>
      </c>
      <c r="B369" s="3">
        <v>40559</v>
      </c>
      <c r="C369" s="1">
        <v>1</v>
      </c>
      <c r="D369" s="1">
        <v>19</v>
      </c>
      <c r="E369" s="1" t="b">
        <v>0</v>
      </c>
      <c r="F369" s="1">
        <v>0</v>
      </c>
      <c r="G369" s="1">
        <v>1</v>
      </c>
      <c r="H369" s="1">
        <v>0.18</v>
      </c>
      <c r="I369" s="1" t="str">
        <f>IF(Table1[[#This Row],[weekday]]&gt;=6,"weekend","weekday")</f>
        <v>weekday</v>
      </c>
      <c r="J369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369" s="1" t="str">
        <f>IF(Table1[[#This Row],[hr]]&lt;12,"Morning",IF(Table1[[#This Row],[hr]]&lt;17,"Afternoon",IF(Table1[[#This Row],[hr]]&lt;21,"Evening","Night")))</f>
        <v>Evening</v>
      </c>
    </row>
    <row r="370" spans="1:11" x14ac:dyDescent="0.2">
      <c r="A370" s="1">
        <v>369</v>
      </c>
      <c r="B370" s="3">
        <v>40559</v>
      </c>
      <c r="C370" s="1">
        <v>1</v>
      </c>
      <c r="D370" s="1">
        <v>20</v>
      </c>
      <c r="E370" s="1" t="b">
        <v>0</v>
      </c>
      <c r="F370" s="1">
        <v>0</v>
      </c>
      <c r="G370" s="1">
        <v>1</v>
      </c>
      <c r="H370" s="1">
        <v>0.18</v>
      </c>
      <c r="I370" s="1" t="str">
        <f>IF(Table1[[#This Row],[weekday]]&gt;=6,"weekend","weekday")</f>
        <v>weekday</v>
      </c>
      <c r="J370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370" s="1" t="str">
        <f>IF(Table1[[#This Row],[hr]]&lt;12,"Morning",IF(Table1[[#This Row],[hr]]&lt;17,"Afternoon",IF(Table1[[#This Row],[hr]]&lt;21,"Evening","Night")))</f>
        <v>Evening</v>
      </c>
    </row>
    <row r="371" spans="1:11" x14ac:dyDescent="0.2">
      <c r="A371" s="1">
        <v>370</v>
      </c>
      <c r="B371" s="3">
        <v>40559</v>
      </c>
      <c r="C371" s="1">
        <v>1</v>
      </c>
      <c r="D371" s="1">
        <v>21</v>
      </c>
      <c r="E371" s="1" t="b">
        <v>0</v>
      </c>
      <c r="F371" s="1">
        <v>0</v>
      </c>
      <c r="G371" s="1">
        <v>1</v>
      </c>
      <c r="H371" s="1">
        <v>0.18</v>
      </c>
      <c r="I371" s="1" t="str">
        <f>IF(Table1[[#This Row],[weekday]]&gt;=6,"weekend","weekday")</f>
        <v>weekday</v>
      </c>
      <c r="J371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371" s="1" t="str">
        <f>IF(Table1[[#This Row],[hr]]&lt;12,"Morning",IF(Table1[[#This Row],[hr]]&lt;17,"Afternoon",IF(Table1[[#This Row],[hr]]&lt;21,"Evening","Night")))</f>
        <v>Night</v>
      </c>
    </row>
    <row r="372" spans="1:11" x14ac:dyDescent="0.2">
      <c r="A372" s="1">
        <v>371</v>
      </c>
      <c r="B372" s="3">
        <v>40559</v>
      </c>
      <c r="C372" s="1">
        <v>1</v>
      </c>
      <c r="D372" s="1">
        <v>22</v>
      </c>
      <c r="E372" s="1" t="b">
        <v>0</v>
      </c>
      <c r="F372" s="1">
        <v>0</v>
      </c>
      <c r="G372" s="1">
        <v>2</v>
      </c>
      <c r="H372" s="1">
        <v>0.2</v>
      </c>
      <c r="I372" s="1" t="str">
        <f>IF(Table1[[#This Row],[weekday]]&gt;=6,"weekend","weekday")</f>
        <v>weekday</v>
      </c>
      <c r="J372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372" s="1" t="str">
        <f>IF(Table1[[#This Row],[hr]]&lt;12,"Morning",IF(Table1[[#This Row],[hr]]&lt;17,"Afternoon",IF(Table1[[#This Row],[hr]]&lt;21,"Evening","Night")))</f>
        <v>Night</v>
      </c>
    </row>
    <row r="373" spans="1:11" x14ac:dyDescent="0.2">
      <c r="A373" s="1">
        <v>372</v>
      </c>
      <c r="B373" s="3">
        <v>40559</v>
      </c>
      <c r="C373" s="1">
        <v>1</v>
      </c>
      <c r="D373" s="1">
        <v>23</v>
      </c>
      <c r="E373" s="1" t="b">
        <v>0</v>
      </c>
      <c r="F373" s="1">
        <v>0</v>
      </c>
      <c r="G373" s="1">
        <v>2</v>
      </c>
      <c r="H373" s="1">
        <v>0.2</v>
      </c>
      <c r="I373" s="1" t="str">
        <f>IF(Table1[[#This Row],[weekday]]&gt;=6,"weekend","weekday")</f>
        <v>weekday</v>
      </c>
      <c r="J373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373" s="1" t="str">
        <f>IF(Table1[[#This Row],[hr]]&lt;12,"Morning",IF(Table1[[#This Row],[hr]]&lt;17,"Afternoon",IF(Table1[[#This Row],[hr]]&lt;21,"Evening","Night")))</f>
        <v>Night</v>
      </c>
    </row>
    <row r="374" spans="1:11" x14ac:dyDescent="0.2">
      <c r="A374" s="1">
        <v>373</v>
      </c>
      <c r="B374" s="3">
        <v>40560</v>
      </c>
      <c r="C374" s="1">
        <v>1</v>
      </c>
      <c r="D374" s="1">
        <v>0</v>
      </c>
      <c r="E374" s="1" t="b">
        <v>1</v>
      </c>
      <c r="F374" s="1">
        <v>1</v>
      </c>
      <c r="G374" s="1">
        <v>2</v>
      </c>
      <c r="H374" s="1">
        <v>0.2</v>
      </c>
      <c r="I374" s="1" t="str">
        <f>IF(Table1[[#This Row],[weekday]]&gt;=6,"weekend","weekday")</f>
        <v>weekday</v>
      </c>
      <c r="J374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374" s="1" t="str">
        <f>IF(Table1[[#This Row],[hr]]&lt;12,"Morning",IF(Table1[[#This Row],[hr]]&lt;17,"Afternoon",IF(Table1[[#This Row],[hr]]&lt;21,"Evening","Night")))</f>
        <v>Morning</v>
      </c>
    </row>
    <row r="375" spans="1:11" x14ac:dyDescent="0.2">
      <c r="A375" s="1">
        <v>374</v>
      </c>
      <c r="B375" s="3">
        <v>40560</v>
      </c>
      <c r="C375" s="1">
        <v>1</v>
      </c>
      <c r="D375" s="1">
        <v>1</v>
      </c>
      <c r="E375" s="1" t="b">
        <v>1</v>
      </c>
      <c r="F375" s="1">
        <v>1</v>
      </c>
      <c r="G375" s="1">
        <v>2</v>
      </c>
      <c r="H375" s="1">
        <v>0.2</v>
      </c>
      <c r="I375" s="1" t="str">
        <f>IF(Table1[[#This Row],[weekday]]&gt;=6,"weekend","weekday")</f>
        <v>weekday</v>
      </c>
      <c r="J375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375" s="1" t="str">
        <f>IF(Table1[[#This Row],[hr]]&lt;12,"Morning",IF(Table1[[#This Row],[hr]]&lt;17,"Afternoon",IF(Table1[[#This Row],[hr]]&lt;21,"Evening","Night")))</f>
        <v>Morning</v>
      </c>
    </row>
    <row r="376" spans="1:11" x14ac:dyDescent="0.2">
      <c r="A376" s="1">
        <v>375</v>
      </c>
      <c r="B376" s="3">
        <v>40560</v>
      </c>
      <c r="C376" s="1">
        <v>1</v>
      </c>
      <c r="D376" s="1">
        <v>2</v>
      </c>
      <c r="E376" s="1" t="b">
        <v>1</v>
      </c>
      <c r="F376" s="1">
        <v>1</v>
      </c>
      <c r="G376" s="1">
        <v>2</v>
      </c>
      <c r="H376" s="1">
        <v>0.18</v>
      </c>
      <c r="I376" s="1" t="str">
        <f>IF(Table1[[#This Row],[weekday]]&gt;=6,"weekend","weekday")</f>
        <v>weekday</v>
      </c>
      <c r="J376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376" s="1" t="str">
        <f>IF(Table1[[#This Row],[hr]]&lt;12,"Morning",IF(Table1[[#This Row],[hr]]&lt;17,"Afternoon",IF(Table1[[#This Row],[hr]]&lt;21,"Evening","Night")))</f>
        <v>Morning</v>
      </c>
    </row>
    <row r="377" spans="1:11" x14ac:dyDescent="0.2">
      <c r="A377" s="1">
        <v>376</v>
      </c>
      <c r="B377" s="3">
        <v>40560</v>
      </c>
      <c r="C377" s="1">
        <v>1</v>
      </c>
      <c r="D377" s="1">
        <v>3</v>
      </c>
      <c r="E377" s="1" t="b">
        <v>1</v>
      </c>
      <c r="F377" s="1">
        <v>1</v>
      </c>
      <c r="G377" s="1">
        <v>2</v>
      </c>
      <c r="H377" s="1">
        <v>0.18</v>
      </c>
      <c r="I377" s="1" t="str">
        <f>IF(Table1[[#This Row],[weekday]]&gt;=6,"weekend","weekday")</f>
        <v>weekday</v>
      </c>
      <c r="J377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377" s="1" t="str">
        <f>IF(Table1[[#This Row],[hr]]&lt;12,"Morning",IF(Table1[[#This Row],[hr]]&lt;17,"Afternoon",IF(Table1[[#This Row],[hr]]&lt;21,"Evening","Night")))</f>
        <v>Morning</v>
      </c>
    </row>
    <row r="378" spans="1:11" x14ac:dyDescent="0.2">
      <c r="A378" s="1">
        <v>377</v>
      </c>
      <c r="B378" s="3">
        <v>40560</v>
      </c>
      <c r="C378" s="1">
        <v>1</v>
      </c>
      <c r="D378" s="1">
        <v>4</v>
      </c>
      <c r="E378" s="1" t="b">
        <v>1</v>
      </c>
      <c r="F378" s="1">
        <v>1</v>
      </c>
      <c r="G378" s="1">
        <v>2</v>
      </c>
      <c r="H378" s="1">
        <v>0.18</v>
      </c>
      <c r="I378" s="1" t="str">
        <f>IF(Table1[[#This Row],[weekday]]&gt;=6,"weekend","weekday")</f>
        <v>weekday</v>
      </c>
      <c r="J378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378" s="1" t="str">
        <f>IF(Table1[[#This Row],[hr]]&lt;12,"Morning",IF(Table1[[#This Row],[hr]]&lt;17,"Afternoon",IF(Table1[[#This Row],[hr]]&lt;21,"Evening","Night")))</f>
        <v>Morning</v>
      </c>
    </row>
    <row r="379" spans="1:11" x14ac:dyDescent="0.2">
      <c r="A379" s="1">
        <v>378</v>
      </c>
      <c r="B379" s="3">
        <v>40560</v>
      </c>
      <c r="C379" s="1">
        <v>1</v>
      </c>
      <c r="D379" s="1">
        <v>5</v>
      </c>
      <c r="E379" s="1" t="b">
        <v>1</v>
      </c>
      <c r="F379" s="1">
        <v>1</v>
      </c>
      <c r="G379" s="1">
        <v>2</v>
      </c>
      <c r="H379" s="1">
        <v>0.18</v>
      </c>
      <c r="I379" s="1" t="str">
        <f>IF(Table1[[#This Row],[weekday]]&gt;=6,"weekend","weekday")</f>
        <v>weekday</v>
      </c>
      <c r="J379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379" s="1" t="str">
        <f>IF(Table1[[#This Row],[hr]]&lt;12,"Morning",IF(Table1[[#This Row],[hr]]&lt;17,"Afternoon",IF(Table1[[#This Row],[hr]]&lt;21,"Evening","Night")))</f>
        <v>Morning</v>
      </c>
    </row>
    <row r="380" spans="1:11" x14ac:dyDescent="0.2">
      <c r="A380" s="1">
        <v>379</v>
      </c>
      <c r="B380" s="3">
        <v>40560</v>
      </c>
      <c r="C380" s="1">
        <v>1</v>
      </c>
      <c r="D380" s="1">
        <v>6</v>
      </c>
      <c r="E380" s="1" t="b">
        <v>1</v>
      </c>
      <c r="F380" s="1">
        <v>1</v>
      </c>
      <c r="G380" s="1">
        <v>2</v>
      </c>
      <c r="H380" s="1">
        <v>0.18</v>
      </c>
      <c r="I380" s="1" t="str">
        <f>IF(Table1[[#This Row],[weekday]]&gt;=6,"weekend","weekday")</f>
        <v>weekday</v>
      </c>
      <c r="J380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380" s="1" t="str">
        <f>IF(Table1[[#This Row],[hr]]&lt;12,"Morning",IF(Table1[[#This Row],[hr]]&lt;17,"Afternoon",IF(Table1[[#This Row],[hr]]&lt;21,"Evening","Night")))</f>
        <v>Morning</v>
      </c>
    </row>
    <row r="381" spans="1:11" x14ac:dyDescent="0.2">
      <c r="A381" s="1">
        <v>380</v>
      </c>
      <c r="B381" s="3">
        <v>40560</v>
      </c>
      <c r="C381" s="1">
        <v>1</v>
      </c>
      <c r="D381" s="1">
        <v>7</v>
      </c>
      <c r="E381" s="1" t="b">
        <v>1</v>
      </c>
      <c r="F381" s="1">
        <v>1</v>
      </c>
      <c r="G381" s="1">
        <v>2</v>
      </c>
      <c r="H381" s="1">
        <v>0.16</v>
      </c>
      <c r="I381" s="1" t="str">
        <f>IF(Table1[[#This Row],[weekday]]&gt;=6,"weekend","weekday")</f>
        <v>weekday</v>
      </c>
      <c r="J381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381" s="1" t="str">
        <f>IF(Table1[[#This Row],[hr]]&lt;12,"Morning",IF(Table1[[#This Row],[hr]]&lt;17,"Afternoon",IF(Table1[[#This Row],[hr]]&lt;21,"Evening","Night")))</f>
        <v>Morning</v>
      </c>
    </row>
    <row r="382" spans="1:11" x14ac:dyDescent="0.2">
      <c r="A382" s="1">
        <v>381</v>
      </c>
      <c r="B382" s="3">
        <v>40560</v>
      </c>
      <c r="C382" s="1">
        <v>1</v>
      </c>
      <c r="D382" s="1">
        <v>8</v>
      </c>
      <c r="E382" s="1" t="b">
        <v>1</v>
      </c>
      <c r="F382" s="1">
        <v>1</v>
      </c>
      <c r="G382" s="1">
        <v>2</v>
      </c>
      <c r="H382" s="1">
        <v>0.16</v>
      </c>
      <c r="I382" s="1" t="str">
        <f>IF(Table1[[#This Row],[weekday]]&gt;=6,"weekend","weekday")</f>
        <v>weekday</v>
      </c>
      <c r="J382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382" s="1" t="str">
        <f>IF(Table1[[#This Row],[hr]]&lt;12,"Morning",IF(Table1[[#This Row],[hr]]&lt;17,"Afternoon",IF(Table1[[#This Row],[hr]]&lt;21,"Evening","Night")))</f>
        <v>Morning</v>
      </c>
    </row>
    <row r="383" spans="1:11" x14ac:dyDescent="0.2">
      <c r="A383" s="1">
        <v>382</v>
      </c>
      <c r="B383" s="3">
        <v>40560</v>
      </c>
      <c r="C383" s="1">
        <v>1</v>
      </c>
      <c r="D383" s="1">
        <v>9</v>
      </c>
      <c r="E383" s="1" t="b">
        <v>1</v>
      </c>
      <c r="F383" s="1">
        <v>1</v>
      </c>
      <c r="G383" s="1">
        <v>2</v>
      </c>
      <c r="H383" s="1">
        <v>0.16</v>
      </c>
      <c r="I383" s="1" t="str">
        <f>IF(Table1[[#This Row],[weekday]]&gt;=6,"weekend","weekday")</f>
        <v>weekday</v>
      </c>
      <c r="J383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383" s="1" t="str">
        <f>IF(Table1[[#This Row],[hr]]&lt;12,"Morning",IF(Table1[[#This Row],[hr]]&lt;17,"Afternoon",IF(Table1[[#This Row],[hr]]&lt;21,"Evening","Night")))</f>
        <v>Morning</v>
      </c>
    </row>
    <row r="384" spans="1:11" x14ac:dyDescent="0.2">
      <c r="A384" s="1">
        <v>383</v>
      </c>
      <c r="B384" s="3">
        <v>40560</v>
      </c>
      <c r="C384" s="1">
        <v>1</v>
      </c>
      <c r="D384" s="1">
        <v>10</v>
      </c>
      <c r="E384" s="1" t="b">
        <v>1</v>
      </c>
      <c r="F384" s="1">
        <v>1</v>
      </c>
      <c r="G384" s="1">
        <v>2</v>
      </c>
      <c r="H384" s="1">
        <v>0.16</v>
      </c>
      <c r="I384" s="1" t="str">
        <f>IF(Table1[[#This Row],[weekday]]&gt;=6,"weekend","weekday")</f>
        <v>weekday</v>
      </c>
      <c r="J384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384" s="1" t="str">
        <f>IF(Table1[[#This Row],[hr]]&lt;12,"Morning",IF(Table1[[#This Row],[hr]]&lt;17,"Afternoon",IF(Table1[[#This Row],[hr]]&lt;21,"Evening","Night")))</f>
        <v>Morning</v>
      </c>
    </row>
    <row r="385" spans="1:11" x14ac:dyDescent="0.2">
      <c r="A385" s="1">
        <v>384</v>
      </c>
      <c r="B385" s="3">
        <v>40560</v>
      </c>
      <c r="C385" s="1">
        <v>1</v>
      </c>
      <c r="D385" s="1">
        <v>11</v>
      </c>
      <c r="E385" s="1" t="b">
        <v>1</v>
      </c>
      <c r="F385" s="1">
        <v>1</v>
      </c>
      <c r="G385" s="1">
        <v>2</v>
      </c>
      <c r="H385" s="1">
        <v>0.16</v>
      </c>
      <c r="I385" s="1" t="str">
        <f>IF(Table1[[#This Row],[weekday]]&gt;=6,"weekend","weekday")</f>
        <v>weekday</v>
      </c>
      <c r="J385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385" s="1" t="str">
        <f>IF(Table1[[#This Row],[hr]]&lt;12,"Morning",IF(Table1[[#This Row],[hr]]&lt;17,"Afternoon",IF(Table1[[#This Row],[hr]]&lt;21,"Evening","Night")))</f>
        <v>Morning</v>
      </c>
    </row>
    <row r="386" spans="1:11" x14ac:dyDescent="0.2">
      <c r="A386" s="1">
        <v>385</v>
      </c>
      <c r="B386" s="3">
        <v>40560</v>
      </c>
      <c r="C386" s="1">
        <v>1</v>
      </c>
      <c r="D386" s="1">
        <v>12</v>
      </c>
      <c r="E386" s="1" t="b">
        <v>1</v>
      </c>
      <c r="F386" s="1">
        <v>1</v>
      </c>
      <c r="G386" s="1">
        <v>2</v>
      </c>
      <c r="H386" s="1">
        <v>0.18</v>
      </c>
      <c r="I386" s="1" t="str">
        <f>IF(Table1[[#This Row],[weekday]]&gt;=6,"weekend","weekday")</f>
        <v>weekday</v>
      </c>
      <c r="J386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386" s="1" t="str">
        <f>IF(Table1[[#This Row],[hr]]&lt;12,"Morning",IF(Table1[[#This Row],[hr]]&lt;17,"Afternoon",IF(Table1[[#This Row],[hr]]&lt;21,"Evening","Night")))</f>
        <v>Afternoon</v>
      </c>
    </row>
    <row r="387" spans="1:11" x14ac:dyDescent="0.2">
      <c r="A387" s="1">
        <v>386</v>
      </c>
      <c r="B387" s="3">
        <v>40560</v>
      </c>
      <c r="C387" s="1">
        <v>1</v>
      </c>
      <c r="D387" s="1">
        <v>13</v>
      </c>
      <c r="E387" s="1" t="b">
        <v>1</v>
      </c>
      <c r="F387" s="1">
        <v>1</v>
      </c>
      <c r="G387" s="1">
        <v>2</v>
      </c>
      <c r="H387" s="1">
        <v>0.18</v>
      </c>
      <c r="I387" s="1" t="str">
        <f>IF(Table1[[#This Row],[weekday]]&gt;=6,"weekend","weekday")</f>
        <v>weekday</v>
      </c>
      <c r="J387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387" s="1" t="str">
        <f>IF(Table1[[#This Row],[hr]]&lt;12,"Morning",IF(Table1[[#This Row],[hr]]&lt;17,"Afternoon",IF(Table1[[#This Row],[hr]]&lt;21,"Evening","Night")))</f>
        <v>Afternoon</v>
      </c>
    </row>
    <row r="388" spans="1:11" x14ac:dyDescent="0.2">
      <c r="A388" s="1">
        <v>387</v>
      </c>
      <c r="B388" s="3">
        <v>40560</v>
      </c>
      <c r="C388" s="1">
        <v>1</v>
      </c>
      <c r="D388" s="1">
        <v>14</v>
      </c>
      <c r="E388" s="1" t="b">
        <v>1</v>
      </c>
      <c r="F388" s="1">
        <v>1</v>
      </c>
      <c r="G388" s="1">
        <v>2</v>
      </c>
      <c r="H388" s="1">
        <v>0.18</v>
      </c>
      <c r="I388" s="1" t="str">
        <f>IF(Table1[[#This Row],[weekday]]&gt;=6,"weekend","weekday")</f>
        <v>weekday</v>
      </c>
      <c r="J388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388" s="1" t="str">
        <f>IF(Table1[[#This Row],[hr]]&lt;12,"Morning",IF(Table1[[#This Row],[hr]]&lt;17,"Afternoon",IF(Table1[[#This Row],[hr]]&lt;21,"Evening","Night")))</f>
        <v>Afternoon</v>
      </c>
    </row>
    <row r="389" spans="1:11" x14ac:dyDescent="0.2">
      <c r="A389" s="1">
        <v>388</v>
      </c>
      <c r="B389" s="3">
        <v>40560</v>
      </c>
      <c r="C389" s="1">
        <v>1</v>
      </c>
      <c r="D389" s="1">
        <v>15</v>
      </c>
      <c r="E389" s="1" t="b">
        <v>1</v>
      </c>
      <c r="F389" s="1">
        <v>1</v>
      </c>
      <c r="G389" s="1">
        <v>2</v>
      </c>
      <c r="H389" s="1">
        <v>0.2</v>
      </c>
      <c r="I389" s="1" t="str">
        <f>IF(Table1[[#This Row],[weekday]]&gt;=6,"weekend","weekday")</f>
        <v>weekday</v>
      </c>
      <c r="J389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389" s="1" t="str">
        <f>IF(Table1[[#This Row],[hr]]&lt;12,"Morning",IF(Table1[[#This Row],[hr]]&lt;17,"Afternoon",IF(Table1[[#This Row],[hr]]&lt;21,"Evening","Night")))</f>
        <v>Afternoon</v>
      </c>
    </row>
    <row r="390" spans="1:11" x14ac:dyDescent="0.2">
      <c r="A390" s="1">
        <v>389</v>
      </c>
      <c r="B390" s="3">
        <v>40560</v>
      </c>
      <c r="C390" s="1">
        <v>1</v>
      </c>
      <c r="D390" s="1">
        <v>16</v>
      </c>
      <c r="E390" s="1" t="b">
        <v>1</v>
      </c>
      <c r="F390" s="1">
        <v>1</v>
      </c>
      <c r="G390" s="1">
        <v>2</v>
      </c>
      <c r="H390" s="1">
        <v>0.2</v>
      </c>
      <c r="I390" s="1" t="str">
        <f>IF(Table1[[#This Row],[weekday]]&gt;=6,"weekend","weekday")</f>
        <v>weekday</v>
      </c>
      <c r="J390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390" s="1" t="str">
        <f>IF(Table1[[#This Row],[hr]]&lt;12,"Morning",IF(Table1[[#This Row],[hr]]&lt;17,"Afternoon",IF(Table1[[#This Row],[hr]]&lt;21,"Evening","Night")))</f>
        <v>Afternoon</v>
      </c>
    </row>
    <row r="391" spans="1:11" x14ac:dyDescent="0.2">
      <c r="A391" s="1">
        <v>390</v>
      </c>
      <c r="B391" s="3">
        <v>40560</v>
      </c>
      <c r="C391" s="1">
        <v>1</v>
      </c>
      <c r="D391" s="1">
        <v>17</v>
      </c>
      <c r="E391" s="1" t="b">
        <v>1</v>
      </c>
      <c r="F391" s="1">
        <v>1</v>
      </c>
      <c r="G391" s="1">
        <v>1</v>
      </c>
      <c r="H391" s="1">
        <v>0.2</v>
      </c>
      <c r="I391" s="1" t="str">
        <f>IF(Table1[[#This Row],[weekday]]&gt;=6,"weekend","weekday")</f>
        <v>weekday</v>
      </c>
      <c r="J391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391" s="1" t="str">
        <f>IF(Table1[[#This Row],[hr]]&lt;12,"Morning",IF(Table1[[#This Row],[hr]]&lt;17,"Afternoon",IF(Table1[[#This Row],[hr]]&lt;21,"Evening","Night")))</f>
        <v>Evening</v>
      </c>
    </row>
    <row r="392" spans="1:11" x14ac:dyDescent="0.2">
      <c r="A392" s="1">
        <v>391</v>
      </c>
      <c r="B392" s="3">
        <v>40560</v>
      </c>
      <c r="C392" s="1">
        <v>1</v>
      </c>
      <c r="D392" s="1">
        <v>18</v>
      </c>
      <c r="E392" s="1" t="b">
        <v>1</v>
      </c>
      <c r="F392" s="1">
        <v>1</v>
      </c>
      <c r="G392" s="1">
        <v>2</v>
      </c>
      <c r="H392" s="1">
        <v>0.18</v>
      </c>
      <c r="I392" s="1" t="str">
        <f>IF(Table1[[#This Row],[weekday]]&gt;=6,"weekend","weekday")</f>
        <v>weekday</v>
      </c>
      <c r="J392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392" s="1" t="str">
        <f>IF(Table1[[#This Row],[hr]]&lt;12,"Morning",IF(Table1[[#This Row],[hr]]&lt;17,"Afternoon",IF(Table1[[#This Row],[hr]]&lt;21,"Evening","Night")))</f>
        <v>Evening</v>
      </c>
    </row>
    <row r="393" spans="1:11" x14ac:dyDescent="0.2">
      <c r="A393" s="1">
        <v>392</v>
      </c>
      <c r="B393" s="3">
        <v>40560</v>
      </c>
      <c r="C393" s="1">
        <v>1</v>
      </c>
      <c r="D393" s="1">
        <v>19</v>
      </c>
      <c r="E393" s="1" t="b">
        <v>1</v>
      </c>
      <c r="F393" s="1">
        <v>1</v>
      </c>
      <c r="G393" s="1">
        <v>3</v>
      </c>
      <c r="H393" s="1">
        <v>0.18</v>
      </c>
      <c r="I393" s="1" t="str">
        <f>IF(Table1[[#This Row],[weekday]]&gt;=6,"weekend","weekday")</f>
        <v>weekday</v>
      </c>
      <c r="J393" s="1" t="str">
        <f>IF(Table1[[#This Row],[weathersit]]=1,"clear sky",IF(Table1[[#This Row],[weathersit]]=2,"Little cloudy",IF(Table1[[#This Row],[weathersit]]=3,"Little Rain",IF(Table1[[#This Row],[weathersit]]=4,"Heavy Rainfoll"," "))))</f>
        <v>Little Rain</v>
      </c>
      <c r="K393" s="1" t="str">
        <f>IF(Table1[[#This Row],[hr]]&lt;12,"Morning",IF(Table1[[#This Row],[hr]]&lt;17,"Afternoon",IF(Table1[[#This Row],[hr]]&lt;21,"Evening","Night")))</f>
        <v>Evening</v>
      </c>
    </row>
    <row r="394" spans="1:11" x14ac:dyDescent="0.2">
      <c r="A394" s="1">
        <v>393</v>
      </c>
      <c r="B394" s="3">
        <v>40560</v>
      </c>
      <c r="C394" s="1">
        <v>1</v>
      </c>
      <c r="D394" s="1">
        <v>20</v>
      </c>
      <c r="E394" s="1" t="b">
        <v>1</v>
      </c>
      <c r="F394" s="1">
        <v>1</v>
      </c>
      <c r="G394" s="1">
        <v>3</v>
      </c>
      <c r="H394" s="1">
        <v>0.16</v>
      </c>
      <c r="I394" s="1" t="str">
        <f>IF(Table1[[#This Row],[weekday]]&gt;=6,"weekend","weekday")</f>
        <v>weekday</v>
      </c>
      <c r="J394" s="1" t="str">
        <f>IF(Table1[[#This Row],[weathersit]]=1,"clear sky",IF(Table1[[#This Row],[weathersit]]=2,"Little cloudy",IF(Table1[[#This Row],[weathersit]]=3,"Little Rain",IF(Table1[[#This Row],[weathersit]]=4,"Heavy Rainfoll"," "))))</f>
        <v>Little Rain</v>
      </c>
      <c r="K394" s="1" t="str">
        <f>IF(Table1[[#This Row],[hr]]&lt;12,"Morning",IF(Table1[[#This Row],[hr]]&lt;17,"Afternoon",IF(Table1[[#This Row],[hr]]&lt;21,"Evening","Night")))</f>
        <v>Evening</v>
      </c>
    </row>
    <row r="395" spans="1:11" x14ac:dyDescent="0.2">
      <c r="A395" s="1">
        <v>394</v>
      </c>
      <c r="B395" s="3">
        <v>40560</v>
      </c>
      <c r="C395" s="1">
        <v>1</v>
      </c>
      <c r="D395" s="1">
        <v>21</v>
      </c>
      <c r="E395" s="1" t="b">
        <v>1</v>
      </c>
      <c r="F395" s="1">
        <v>1</v>
      </c>
      <c r="G395" s="1">
        <v>3</v>
      </c>
      <c r="H395" s="1">
        <v>0.16</v>
      </c>
      <c r="I395" s="1" t="str">
        <f>IF(Table1[[#This Row],[weekday]]&gt;=6,"weekend","weekday")</f>
        <v>weekday</v>
      </c>
      <c r="J395" s="1" t="str">
        <f>IF(Table1[[#This Row],[weathersit]]=1,"clear sky",IF(Table1[[#This Row],[weathersit]]=2,"Little cloudy",IF(Table1[[#This Row],[weathersit]]=3,"Little Rain",IF(Table1[[#This Row],[weathersit]]=4,"Heavy Rainfoll"," "))))</f>
        <v>Little Rain</v>
      </c>
      <c r="K395" s="1" t="str">
        <f>IF(Table1[[#This Row],[hr]]&lt;12,"Morning",IF(Table1[[#This Row],[hr]]&lt;17,"Afternoon",IF(Table1[[#This Row],[hr]]&lt;21,"Evening","Night")))</f>
        <v>Night</v>
      </c>
    </row>
    <row r="396" spans="1:11" x14ac:dyDescent="0.2">
      <c r="A396" s="1">
        <v>395</v>
      </c>
      <c r="B396" s="3">
        <v>40560</v>
      </c>
      <c r="C396" s="1">
        <v>1</v>
      </c>
      <c r="D396" s="1">
        <v>22</v>
      </c>
      <c r="E396" s="1" t="b">
        <v>1</v>
      </c>
      <c r="F396" s="1">
        <v>1</v>
      </c>
      <c r="G396" s="1">
        <v>3</v>
      </c>
      <c r="H396" s="1">
        <v>0.14000000000000001</v>
      </c>
      <c r="I396" s="1" t="str">
        <f>IF(Table1[[#This Row],[weekday]]&gt;=6,"weekend","weekday")</f>
        <v>weekday</v>
      </c>
      <c r="J396" s="1" t="str">
        <f>IF(Table1[[#This Row],[weathersit]]=1,"clear sky",IF(Table1[[#This Row],[weathersit]]=2,"Little cloudy",IF(Table1[[#This Row],[weathersit]]=3,"Little Rain",IF(Table1[[#This Row],[weathersit]]=4,"Heavy Rainfoll"," "))))</f>
        <v>Little Rain</v>
      </c>
      <c r="K396" s="1" t="str">
        <f>IF(Table1[[#This Row],[hr]]&lt;12,"Morning",IF(Table1[[#This Row],[hr]]&lt;17,"Afternoon",IF(Table1[[#This Row],[hr]]&lt;21,"Evening","Night")))</f>
        <v>Night</v>
      </c>
    </row>
    <row r="397" spans="1:11" x14ac:dyDescent="0.2">
      <c r="A397" s="1">
        <v>396</v>
      </c>
      <c r="B397" s="3">
        <v>40560</v>
      </c>
      <c r="C397" s="1">
        <v>1</v>
      </c>
      <c r="D397" s="1">
        <v>23</v>
      </c>
      <c r="E397" s="1" t="b">
        <v>1</v>
      </c>
      <c r="F397" s="1">
        <v>1</v>
      </c>
      <c r="G397" s="1">
        <v>3</v>
      </c>
      <c r="H397" s="1">
        <v>0.16</v>
      </c>
      <c r="I397" s="1" t="str">
        <f>IF(Table1[[#This Row],[weekday]]&gt;=6,"weekend","weekday")</f>
        <v>weekday</v>
      </c>
      <c r="J397" s="1" t="str">
        <f>IF(Table1[[#This Row],[weathersit]]=1,"clear sky",IF(Table1[[#This Row],[weathersit]]=2,"Little cloudy",IF(Table1[[#This Row],[weathersit]]=3,"Little Rain",IF(Table1[[#This Row],[weathersit]]=4,"Heavy Rainfoll"," "))))</f>
        <v>Little Rain</v>
      </c>
      <c r="K397" s="1" t="str">
        <f>IF(Table1[[#This Row],[hr]]&lt;12,"Morning",IF(Table1[[#This Row],[hr]]&lt;17,"Afternoon",IF(Table1[[#This Row],[hr]]&lt;21,"Evening","Night")))</f>
        <v>Night</v>
      </c>
    </row>
    <row r="398" spans="1:11" x14ac:dyDescent="0.2">
      <c r="A398" s="1">
        <v>397</v>
      </c>
      <c r="B398" s="3">
        <v>40561</v>
      </c>
      <c r="C398" s="1">
        <v>1</v>
      </c>
      <c r="D398" s="1">
        <v>12</v>
      </c>
      <c r="E398" s="1" t="b">
        <v>0</v>
      </c>
      <c r="F398" s="1">
        <v>2</v>
      </c>
      <c r="G398" s="1">
        <v>2</v>
      </c>
      <c r="H398" s="1">
        <v>0.2</v>
      </c>
      <c r="I398" s="1" t="str">
        <f>IF(Table1[[#This Row],[weekday]]&gt;=6,"weekend","weekday")</f>
        <v>weekday</v>
      </c>
      <c r="J398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398" s="1" t="str">
        <f>IF(Table1[[#This Row],[hr]]&lt;12,"Morning",IF(Table1[[#This Row],[hr]]&lt;17,"Afternoon",IF(Table1[[#This Row],[hr]]&lt;21,"Evening","Night")))</f>
        <v>Afternoon</v>
      </c>
    </row>
    <row r="399" spans="1:11" x14ac:dyDescent="0.2">
      <c r="A399" s="1">
        <v>398</v>
      </c>
      <c r="B399" s="3">
        <v>40561</v>
      </c>
      <c r="C399" s="1">
        <v>1</v>
      </c>
      <c r="D399" s="1">
        <v>13</v>
      </c>
      <c r="E399" s="1" t="b">
        <v>0</v>
      </c>
      <c r="F399" s="1">
        <v>2</v>
      </c>
      <c r="G399" s="1">
        <v>2</v>
      </c>
      <c r="H399" s="1">
        <v>0.2</v>
      </c>
      <c r="I399" s="1" t="str">
        <f>IF(Table1[[#This Row],[weekday]]&gt;=6,"weekend","weekday")</f>
        <v>weekday</v>
      </c>
      <c r="J399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399" s="1" t="str">
        <f>IF(Table1[[#This Row],[hr]]&lt;12,"Morning",IF(Table1[[#This Row],[hr]]&lt;17,"Afternoon",IF(Table1[[#This Row],[hr]]&lt;21,"Evening","Night")))</f>
        <v>Afternoon</v>
      </c>
    </row>
    <row r="400" spans="1:11" x14ac:dyDescent="0.2">
      <c r="A400" s="1">
        <v>399</v>
      </c>
      <c r="B400" s="3">
        <v>40561</v>
      </c>
      <c r="C400" s="1">
        <v>1</v>
      </c>
      <c r="D400" s="1">
        <v>14</v>
      </c>
      <c r="E400" s="1" t="b">
        <v>0</v>
      </c>
      <c r="F400" s="1">
        <v>2</v>
      </c>
      <c r="G400" s="1">
        <v>2</v>
      </c>
      <c r="H400" s="1">
        <v>0.22</v>
      </c>
      <c r="I400" s="1" t="str">
        <f>IF(Table1[[#This Row],[weekday]]&gt;=6,"weekend","weekday")</f>
        <v>weekday</v>
      </c>
      <c r="J400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400" s="1" t="str">
        <f>IF(Table1[[#This Row],[hr]]&lt;12,"Morning",IF(Table1[[#This Row],[hr]]&lt;17,"Afternoon",IF(Table1[[#This Row],[hr]]&lt;21,"Evening","Night")))</f>
        <v>Afternoon</v>
      </c>
    </row>
    <row r="401" spans="1:11" x14ac:dyDescent="0.2">
      <c r="A401" s="1">
        <v>400</v>
      </c>
      <c r="B401" s="3">
        <v>40561</v>
      </c>
      <c r="C401" s="1">
        <v>1</v>
      </c>
      <c r="D401" s="1">
        <v>15</v>
      </c>
      <c r="E401" s="1" t="b">
        <v>0</v>
      </c>
      <c r="F401" s="1">
        <v>2</v>
      </c>
      <c r="G401" s="1">
        <v>2</v>
      </c>
      <c r="H401" s="1">
        <v>0.22</v>
      </c>
      <c r="I401" s="1" t="str">
        <f>IF(Table1[[#This Row],[weekday]]&gt;=6,"weekend","weekday")</f>
        <v>weekday</v>
      </c>
      <c r="J401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401" s="1" t="str">
        <f>IF(Table1[[#This Row],[hr]]&lt;12,"Morning",IF(Table1[[#This Row],[hr]]&lt;17,"Afternoon",IF(Table1[[#This Row],[hr]]&lt;21,"Evening","Night")))</f>
        <v>Afternoon</v>
      </c>
    </row>
    <row r="402" spans="1:11" x14ac:dyDescent="0.2">
      <c r="A402" s="1">
        <v>401</v>
      </c>
      <c r="B402" s="3">
        <v>40561</v>
      </c>
      <c r="C402" s="1">
        <v>1</v>
      </c>
      <c r="D402" s="1">
        <v>16</v>
      </c>
      <c r="E402" s="1" t="b">
        <v>0</v>
      </c>
      <c r="F402" s="1">
        <v>2</v>
      </c>
      <c r="G402" s="1">
        <v>2</v>
      </c>
      <c r="H402" s="1">
        <v>0.22</v>
      </c>
      <c r="I402" s="1" t="str">
        <f>IF(Table1[[#This Row],[weekday]]&gt;=6,"weekend","weekday")</f>
        <v>weekday</v>
      </c>
      <c r="J402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402" s="1" t="str">
        <f>IF(Table1[[#This Row],[hr]]&lt;12,"Morning",IF(Table1[[#This Row],[hr]]&lt;17,"Afternoon",IF(Table1[[#This Row],[hr]]&lt;21,"Evening","Night")))</f>
        <v>Afternoon</v>
      </c>
    </row>
    <row r="403" spans="1:11" x14ac:dyDescent="0.2">
      <c r="A403" s="1">
        <v>402</v>
      </c>
      <c r="B403" s="3">
        <v>40561</v>
      </c>
      <c r="C403" s="1">
        <v>1</v>
      </c>
      <c r="D403" s="1">
        <v>17</v>
      </c>
      <c r="E403" s="1" t="b">
        <v>0</v>
      </c>
      <c r="F403" s="1">
        <v>2</v>
      </c>
      <c r="G403" s="1">
        <v>2</v>
      </c>
      <c r="H403" s="1">
        <v>0.22</v>
      </c>
      <c r="I403" s="1" t="str">
        <f>IF(Table1[[#This Row],[weekday]]&gt;=6,"weekend","weekday")</f>
        <v>weekday</v>
      </c>
      <c r="J403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403" s="1" t="str">
        <f>IF(Table1[[#This Row],[hr]]&lt;12,"Morning",IF(Table1[[#This Row],[hr]]&lt;17,"Afternoon",IF(Table1[[#This Row],[hr]]&lt;21,"Evening","Night")))</f>
        <v>Evening</v>
      </c>
    </row>
    <row r="404" spans="1:11" x14ac:dyDescent="0.2">
      <c r="A404" s="1">
        <v>403</v>
      </c>
      <c r="B404" s="3">
        <v>40561</v>
      </c>
      <c r="C404" s="1">
        <v>1</v>
      </c>
      <c r="D404" s="1">
        <v>18</v>
      </c>
      <c r="E404" s="1" t="b">
        <v>0</v>
      </c>
      <c r="F404" s="1">
        <v>2</v>
      </c>
      <c r="G404" s="1">
        <v>2</v>
      </c>
      <c r="H404" s="1">
        <v>0.22</v>
      </c>
      <c r="I404" s="1" t="str">
        <f>IF(Table1[[#This Row],[weekday]]&gt;=6,"weekend","weekday")</f>
        <v>weekday</v>
      </c>
      <c r="J404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404" s="1" t="str">
        <f>IF(Table1[[#This Row],[hr]]&lt;12,"Morning",IF(Table1[[#This Row],[hr]]&lt;17,"Afternoon",IF(Table1[[#This Row],[hr]]&lt;21,"Evening","Night")))</f>
        <v>Evening</v>
      </c>
    </row>
    <row r="405" spans="1:11" x14ac:dyDescent="0.2">
      <c r="A405" s="1">
        <v>404</v>
      </c>
      <c r="B405" s="3">
        <v>40561</v>
      </c>
      <c r="C405" s="1">
        <v>1</v>
      </c>
      <c r="D405" s="1">
        <v>19</v>
      </c>
      <c r="E405" s="1" t="b">
        <v>0</v>
      </c>
      <c r="F405" s="1">
        <v>2</v>
      </c>
      <c r="G405" s="1">
        <v>2</v>
      </c>
      <c r="H405" s="1">
        <v>0.22</v>
      </c>
      <c r="I405" s="1" t="str">
        <f>IF(Table1[[#This Row],[weekday]]&gt;=6,"weekend","weekday")</f>
        <v>weekday</v>
      </c>
      <c r="J405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405" s="1" t="str">
        <f>IF(Table1[[#This Row],[hr]]&lt;12,"Morning",IF(Table1[[#This Row],[hr]]&lt;17,"Afternoon",IF(Table1[[#This Row],[hr]]&lt;21,"Evening","Night")))</f>
        <v>Evening</v>
      </c>
    </row>
    <row r="406" spans="1:11" x14ac:dyDescent="0.2">
      <c r="A406" s="1">
        <v>405</v>
      </c>
      <c r="B406" s="3">
        <v>40561</v>
      </c>
      <c r="C406" s="1">
        <v>1</v>
      </c>
      <c r="D406" s="1">
        <v>20</v>
      </c>
      <c r="E406" s="1" t="b">
        <v>0</v>
      </c>
      <c r="F406" s="1">
        <v>2</v>
      </c>
      <c r="G406" s="1">
        <v>2</v>
      </c>
      <c r="H406" s="1">
        <v>0.22</v>
      </c>
      <c r="I406" s="1" t="str">
        <f>IF(Table1[[#This Row],[weekday]]&gt;=6,"weekend","weekday")</f>
        <v>weekday</v>
      </c>
      <c r="J406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406" s="1" t="str">
        <f>IF(Table1[[#This Row],[hr]]&lt;12,"Morning",IF(Table1[[#This Row],[hr]]&lt;17,"Afternoon",IF(Table1[[#This Row],[hr]]&lt;21,"Evening","Night")))</f>
        <v>Evening</v>
      </c>
    </row>
    <row r="407" spans="1:11" x14ac:dyDescent="0.2">
      <c r="A407" s="1">
        <v>406</v>
      </c>
      <c r="B407" s="3">
        <v>40561</v>
      </c>
      <c r="C407" s="1">
        <v>1</v>
      </c>
      <c r="D407" s="1">
        <v>21</v>
      </c>
      <c r="E407" s="1" t="b">
        <v>0</v>
      </c>
      <c r="F407" s="1">
        <v>2</v>
      </c>
      <c r="G407" s="1">
        <v>2</v>
      </c>
      <c r="H407" s="1">
        <v>0.22</v>
      </c>
      <c r="I407" s="1" t="str">
        <f>IF(Table1[[#This Row],[weekday]]&gt;=6,"weekend","weekday")</f>
        <v>weekday</v>
      </c>
      <c r="J407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407" s="1" t="str">
        <f>IF(Table1[[#This Row],[hr]]&lt;12,"Morning",IF(Table1[[#This Row],[hr]]&lt;17,"Afternoon",IF(Table1[[#This Row],[hr]]&lt;21,"Evening","Night")))</f>
        <v>Night</v>
      </c>
    </row>
    <row r="408" spans="1:11" x14ac:dyDescent="0.2">
      <c r="A408" s="1">
        <v>407</v>
      </c>
      <c r="B408" s="3">
        <v>40561</v>
      </c>
      <c r="C408" s="1">
        <v>1</v>
      </c>
      <c r="D408" s="1">
        <v>22</v>
      </c>
      <c r="E408" s="1" t="b">
        <v>0</v>
      </c>
      <c r="F408" s="1">
        <v>2</v>
      </c>
      <c r="G408" s="1">
        <v>2</v>
      </c>
      <c r="H408" s="1">
        <v>0.22</v>
      </c>
      <c r="I408" s="1" t="str">
        <f>IF(Table1[[#This Row],[weekday]]&gt;=6,"weekend","weekday")</f>
        <v>weekday</v>
      </c>
      <c r="J408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408" s="1" t="str">
        <f>IF(Table1[[#This Row],[hr]]&lt;12,"Morning",IF(Table1[[#This Row],[hr]]&lt;17,"Afternoon",IF(Table1[[#This Row],[hr]]&lt;21,"Evening","Night")))</f>
        <v>Night</v>
      </c>
    </row>
    <row r="409" spans="1:11" x14ac:dyDescent="0.2">
      <c r="A409" s="1">
        <v>408</v>
      </c>
      <c r="B409" s="3">
        <v>40561</v>
      </c>
      <c r="C409" s="1">
        <v>1</v>
      </c>
      <c r="D409" s="1">
        <v>23</v>
      </c>
      <c r="E409" s="1" t="b">
        <v>0</v>
      </c>
      <c r="F409" s="1">
        <v>2</v>
      </c>
      <c r="G409" s="1">
        <v>2</v>
      </c>
      <c r="H409" s="1">
        <v>0.22</v>
      </c>
      <c r="I409" s="1" t="str">
        <f>IF(Table1[[#This Row],[weekday]]&gt;=6,"weekend","weekday")</f>
        <v>weekday</v>
      </c>
      <c r="J409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409" s="1" t="str">
        <f>IF(Table1[[#This Row],[hr]]&lt;12,"Morning",IF(Table1[[#This Row],[hr]]&lt;17,"Afternoon",IF(Table1[[#This Row],[hr]]&lt;21,"Evening","Night")))</f>
        <v>Night</v>
      </c>
    </row>
    <row r="410" spans="1:11" x14ac:dyDescent="0.2">
      <c r="A410" s="1">
        <v>409</v>
      </c>
      <c r="B410" s="3">
        <v>40562</v>
      </c>
      <c r="C410" s="1">
        <v>1</v>
      </c>
      <c r="D410" s="1">
        <v>0</v>
      </c>
      <c r="E410" s="1" t="b">
        <v>0</v>
      </c>
      <c r="F410" s="1">
        <v>3</v>
      </c>
      <c r="G410" s="1">
        <v>2</v>
      </c>
      <c r="H410" s="1">
        <v>0.22</v>
      </c>
      <c r="I410" s="1" t="str">
        <f>IF(Table1[[#This Row],[weekday]]&gt;=6,"weekend","weekday")</f>
        <v>weekday</v>
      </c>
      <c r="J410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410" s="1" t="str">
        <f>IF(Table1[[#This Row],[hr]]&lt;12,"Morning",IF(Table1[[#This Row],[hr]]&lt;17,"Afternoon",IF(Table1[[#This Row],[hr]]&lt;21,"Evening","Night")))</f>
        <v>Morning</v>
      </c>
    </row>
    <row r="411" spans="1:11" x14ac:dyDescent="0.2">
      <c r="A411" s="1">
        <v>410</v>
      </c>
      <c r="B411" s="3">
        <v>40562</v>
      </c>
      <c r="C411" s="1">
        <v>1</v>
      </c>
      <c r="D411" s="1">
        <v>1</v>
      </c>
      <c r="E411" s="1" t="b">
        <v>0</v>
      </c>
      <c r="F411" s="1">
        <v>3</v>
      </c>
      <c r="G411" s="1">
        <v>3</v>
      </c>
      <c r="H411" s="1">
        <v>0.22</v>
      </c>
      <c r="I411" s="1" t="str">
        <f>IF(Table1[[#This Row],[weekday]]&gt;=6,"weekend","weekday")</f>
        <v>weekday</v>
      </c>
      <c r="J411" s="1" t="str">
        <f>IF(Table1[[#This Row],[weathersit]]=1,"clear sky",IF(Table1[[#This Row],[weathersit]]=2,"Little cloudy",IF(Table1[[#This Row],[weathersit]]=3,"Little Rain",IF(Table1[[#This Row],[weathersit]]=4,"Heavy Rainfoll"," "))))</f>
        <v>Little Rain</v>
      </c>
      <c r="K411" s="1" t="str">
        <f>IF(Table1[[#This Row],[hr]]&lt;12,"Morning",IF(Table1[[#This Row],[hr]]&lt;17,"Afternoon",IF(Table1[[#This Row],[hr]]&lt;21,"Evening","Night")))</f>
        <v>Morning</v>
      </c>
    </row>
    <row r="412" spans="1:11" x14ac:dyDescent="0.2">
      <c r="A412" s="1">
        <v>411</v>
      </c>
      <c r="B412" s="3">
        <v>40562</v>
      </c>
      <c r="C412" s="1">
        <v>1</v>
      </c>
      <c r="D412" s="1">
        <v>2</v>
      </c>
      <c r="E412" s="1" t="b">
        <v>0</v>
      </c>
      <c r="F412" s="1">
        <v>3</v>
      </c>
      <c r="G412" s="1">
        <v>3</v>
      </c>
      <c r="H412" s="1">
        <v>0.22</v>
      </c>
      <c r="I412" s="1" t="str">
        <f>IF(Table1[[#This Row],[weekday]]&gt;=6,"weekend","weekday")</f>
        <v>weekday</v>
      </c>
      <c r="J412" s="1" t="str">
        <f>IF(Table1[[#This Row],[weathersit]]=1,"clear sky",IF(Table1[[#This Row],[weathersit]]=2,"Little cloudy",IF(Table1[[#This Row],[weathersit]]=3,"Little Rain",IF(Table1[[#This Row],[weathersit]]=4,"Heavy Rainfoll"," "))))</f>
        <v>Little Rain</v>
      </c>
      <c r="K412" s="1" t="str">
        <f>IF(Table1[[#This Row],[hr]]&lt;12,"Morning",IF(Table1[[#This Row],[hr]]&lt;17,"Afternoon",IF(Table1[[#This Row],[hr]]&lt;21,"Evening","Night")))</f>
        <v>Morning</v>
      </c>
    </row>
    <row r="413" spans="1:11" x14ac:dyDescent="0.2">
      <c r="A413" s="1">
        <v>412</v>
      </c>
      <c r="B413" s="3">
        <v>40562</v>
      </c>
      <c r="C413" s="1">
        <v>1</v>
      </c>
      <c r="D413" s="1">
        <v>4</v>
      </c>
      <c r="E413" s="1" t="b">
        <v>0</v>
      </c>
      <c r="F413" s="1">
        <v>3</v>
      </c>
      <c r="G413" s="1">
        <v>3</v>
      </c>
      <c r="H413" s="1">
        <v>0.22</v>
      </c>
      <c r="I413" s="1" t="str">
        <f>IF(Table1[[#This Row],[weekday]]&gt;=6,"weekend","weekday")</f>
        <v>weekday</v>
      </c>
      <c r="J413" s="1" t="str">
        <f>IF(Table1[[#This Row],[weathersit]]=1,"clear sky",IF(Table1[[#This Row],[weathersit]]=2,"Little cloudy",IF(Table1[[#This Row],[weathersit]]=3,"Little Rain",IF(Table1[[#This Row],[weathersit]]=4,"Heavy Rainfoll"," "))))</f>
        <v>Little Rain</v>
      </c>
      <c r="K413" s="1" t="str">
        <f>IF(Table1[[#This Row],[hr]]&lt;12,"Morning",IF(Table1[[#This Row],[hr]]&lt;17,"Afternoon",IF(Table1[[#This Row],[hr]]&lt;21,"Evening","Night")))</f>
        <v>Morning</v>
      </c>
    </row>
    <row r="414" spans="1:11" x14ac:dyDescent="0.2">
      <c r="A414" s="1">
        <v>413</v>
      </c>
      <c r="B414" s="3">
        <v>40562</v>
      </c>
      <c r="C414" s="1">
        <v>1</v>
      </c>
      <c r="D414" s="1">
        <v>5</v>
      </c>
      <c r="E414" s="1" t="b">
        <v>0</v>
      </c>
      <c r="F414" s="1">
        <v>3</v>
      </c>
      <c r="G414" s="1">
        <v>2</v>
      </c>
      <c r="H414" s="1">
        <v>0.22</v>
      </c>
      <c r="I414" s="1" t="str">
        <f>IF(Table1[[#This Row],[weekday]]&gt;=6,"weekend","weekday")</f>
        <v>weekday</v>
      </c>
      <c r="J414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414" s="1" t="str">
        <f>IF(Table1[[#This Row],[hr]]&lt;12,"Morning",IF(Table1[[#This Row],[hr]]&lt;17,"Afternoon",IF(Table1[[#This Row],[hr]]&lt;21,"Evening","Night")))</f>
        <v>Morning</v>
      </c>
    </row>
    <row r="415" spans="1:11" x14ac:dyDescent="0.2">
      <c r="A415" s="1">
        <v>414</v>
      </c>
      <c r="B415" s="3">
        <v>40562</v>
      </c>
      <c r="C415" s="1">
        <v>1</v>
      </c>
      <c r="D415" s="1">
        <v>6</v>
      </c>
      <c r="E415" s="1" t="b">
        <v>0</v>
      </c>
      <c r="F415" s="1">
        <v>3</v>
      </c>
      <c r="G415" s="1">
        <v>2</v>
      </c>
      <c r="H415" s="1">
        <v>0.22</v>
      </c>
      <c r="I415" s="1" t="str">
        <f>IF(Table1[[#This Row],[weekday]]&gt;=6,"weekend","weekday")</f>
        <v>weekday</v>
      </c>
      <c r="J415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415" s="1" t="str">
        <f>IF(Table1[[#This Row],[hr]]&lt;12,"Morning",IF(Table1[[#This Row],[hr]]&lt;17,"Afternoon",IF(Table1[[#This Row],[hr]]&lt;21,"Evening","Night")))</f>
        <v>Morning</v>
      </c>
    </row>
    <row r="416" spans="1:11" x14ac:dyDescent="0.2">
      <c r="A416" s="1">
        <v>415</v>
      </c>
      <c r="B416" s="3">
        <v>40562</v>
      </c>
      <c r="C416" s="1">
        <v>1</v>
      </c>
      <c r="D416" s="1">
        <v>7</v>
      </c>
      <c r="E416" s="1" t="b">
        <v>0</v>
      </c>
      <c r="F416" s="1">
        <v>3</v>
      </c>
      <c r="G416" s="1">
        <v>2</v>
      </c>
      <c r="H416" s="1">
        <v>0.24</v>
      </c>
      <c r="I416" s="1" t="str">
        <f>IF(Table1[[#This Row],[weekday]]&gt;=6,"weekend","weekday")</f>
        <v>weekday</v>
      </c>
      <c r="J416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416" s="1" t="str">
        <f>IF(Table1[[#This Row],[hr]]&lt;12,"Morning",IF(Table1[[#This Row],[hr]]&lt;17,"Afternoon",IF(Table1[[#This Row],[hr]]&lt;21,"Evening","Night")))</f>
        <v>Morning</v>
      </c>
    </row>
    <row r="417" spans="1:11" x14ac:dyDescent="0.2">
      <c r="A417" s="1">
        <v>416</v>
      </c>
      <c r="B417" s="3">
        <v>40562</v>
      </c>
      <c r="C417" s="1">
        <v>1</v>
      </c>
      <c r="D417" s="1">
        <v>8</v>
      </c>
      <c r="E417" s="1" t="b">
        <v>0</v>
      </c>
      <c r="F417" s="1">
        <v>3</v>
      </c>
      <c r="G417" s="1">
        <v>2</v>
      </c>
      <c r="H417" s="1">
        <v>0.24</v>
      </c>
      <c r="I417" s="1" t="str">
        <f>IF(Table1[[#This Row],[weekday]]&gt;=6,"weekend","weekday")</f>
        <v>weekday</v>
      </c>
      <c r="J417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417" s="1" t="str">
        <f>IF(Table1[[#This Row],[hr]]&lt;12,"Morning",IF(Table1[[#This Row],[hr]]&lt;17,"Afternoon",IF(Table1[[#This Row],[hr]]&lt;21,"Evening","Night")))</f>
        <v>Morning</v>
      </c>
    </row>
    <row r="418" spans="1:11" x14ac:dyDescent="0.2">
      <c r="A418" s="1">
        <v>417</v>
      </c>
      <c r="B418" s="3">
        <v>40562</v>
      </c>
      <c r="C418" s="1">
        <v>1</v>
      </c>
      <c r="D418" s="1">
        <v>9</v>
      </c>
      <c r="E418" s="1" t="b">
        <v>0</v>
      </c>
      <c r="F418" s="1">
        <v>3</v>
      </c>
      <c r="G418" s="1">
        <v>2</v>
      </c>
      <c r="H418" s="1">
        <v>0.24</v>
      </c>
      <c r="I418" s="1" t="str">
        <f>IF(Table1[[#This Row],[weekday]]&gt;=6,"weekend","weekday")</f>
        <v>weekday</v>
      </c>
      <c r="J418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418" s="1" t="str">
        <f>IF(Table1[[#This Row],[hr]]&lt;12,"Morning",IF(Table1[[#This Row],[hr]]&lt;17,"Afternoon",IF(Table1[[#This Row],[hr]]&lt;21,"Evening","Night")))</f>
        <v>Morning</v>
      </c>
    </row>
    <row r="419" spans="1:11" x14ac:dyDescent="0.2">
      <c r="A419" s="1">
        <v>418</v>
      </c>
      <c r="B419" s="3">
        <v>40562</v>
      </c>
      <c r="C419" s="1">
        <v>1</v>
      </c>
      <c r="D419" s="1">
        <v>10</v>
      </c>
      <c r="E419" s="1" t="b">
        <v>0</v>
      </c>
      <c r="F419" s="1">
        <v>3</v>
      </c>
      <c r="G419" s="1">
        <v>2</v>
      </c>
      <c r="H419" s="1">
        <v>0.26</v>
      </c>
      <c r="I419" s="1" t="str">
        <f>IF(Table1[[#This Row],[weekday]]&gt;=6,"weekend","weekday")</f>
        <v>weekday</v>
      </c>
      <c r="J419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419" s="1" t="str">
        <f>IF(Table1[[#This Row],[hr]]&lt;12,"Morning",IF(Table1[[#This Row],[hr]]&lt;17,"Afternoon",IF(Table1[[#This Row],[hr]]&lt;21,"Evening","Night")))</f>
        <v>Morning</v>
      </c>
    </row>
    <row r="420" spans="1:11" x14ac:dyDescent="0.2">
      <c r="A420" s="1">
        <v>419</v>
      </c>
      <c r="B420" s="3">
        <v>40562</v>
      </c>
      <c r="C420" s="1">
        <v>1</v>
      </c>
      <c r="D420" s="1">
        <v>11</v>
      </c>
      <c r="E420" s="1" t="b">
        <v>0</v>
      </c>
      <c r="F420" s="1">
        <v>3</v>
      </c>
      <c r="G420" s="1">
        <v>2</v>
      </c>
      <c r="H420" s="1">
        <v>0.28000000000000003</v>
      </c>
      <c r="I420" s="1" t="str">
        <f>IF(Table1[[#This Row],[weekday]]&gt;=6,"weekend","weekday")</f>
        <v>weekday</v>
      </c>
      <c r="J420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420" s="1" t="str">
        <f>IF(Table1[[#This Row],[hr]]&lt;12,"Morning",IF(Table1[[#This Row],[hr]]&lt;17,"Afternoon",IF(Table1[[#This Row],[hr]]&lt;21,"Evening","Night")))</f>
        <v>Morning</v>
      </c>
    </row>
    <row r="421" spans="1:11" x14ac:dyDescent="0.2">
      <c r="A421" s="1">
        <v>420</v>
      </c>
      <c r="B421" s="3">
        <v>40562</v>
      </c>
      <c r="C421" s="1">
        <v>1</v>
      </c>
      <c r="D421" s="1">
        <v>12</v>
      </c>
      <c r="E421" s="1" t="b">
        <v>0</v>
      </c>
      <c r="F421" s="1">
        <v>3</v>
      </c>
      <c r="G421" s="1">
        <v>2</v>
      </c>
      <c r="H421" s="1">
        <v>0.3</v>
      </c>
      <c r="I421" s="1" t="str">
        <f>IF(Table1[[#This Row],[weekday]]&gt;=6,"weekend","weekday")</f>
        <v>weekday</v>
      </c>
      <c r="J421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421" s="1" t="str">
        <f>IF(Table1[[#This Row],[hr]]&lt;12,"Morning",IF(Table1[[#This Row],[hr]]&lt;17,"Afternoon",IF(Table1[[#This Row],[hr]]&lt;21,"Evening","Night")))</f>
        <v>Afternoon</v>
      </c>
    </row>
    <row r="422" spans="1:11" x14ac:dyDescent="0.2">
      <c r="A422" s="1">
        <v>421</v>
      </c>
      <c r="B422" s="3">
        <v>40562</v>
      </c>
      <c r="C422" s="1">
        <v>1</v>
      </c>
      <c r="D422" s="1">
        <v>13</v>
      </c>
      <c r="E422" s="1" t="b">
        <v>0</v>
      </c>
      <c r="F422" s="1">
        <v>3</v>
      </c>
      <c r="G422" s="1">
        <v>1</v>
      </c>
      <c r="H422" s="1">
        <v>0.4</v>
      </c>
      <c r="I422" s="1" t="str">
        <f>IF(Table1[[#This Row],[weekday]]&gt;=6,"weekend","weekday")</f>
        <v>weekday</v>
      </c>
      <c r="J422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422" s="1" t="str">
        <f>IF(Table1[[#This Row],[hr]]&lt;12,"Morning",IF(Table1[[#This Row],[hr]]&lt;17,"Afternoon",IF(Table1[[#This Row],[hr]]&lt;21,"Evening","Night")))</f>
        <v>Afternoon</v>
      </c>
    </row>
    <row r="423" spans="1:11" x14ac:dyDescent="0.2">
      <c r="A423" s="1">
        <v>422</v>
      </c>
      <c r="B423" s="3">
        <v>40562</v>
      </c>
      <c r="C423" s="1">
        <v>1</v>
      </c>
      <c r="D423" s="1">
        <v>14</v>
      </c>
      <c r="E423" s="1" t="b">
        <v>0</v>
      </c>
      <c r="F423" s="1">
        <v>3</v>
      </c>
      <c r="G423" s="1">
        <v>1</v>
      </c>
      <c r="H423" s="1">
        <v>0.4</v>
      </c>
      <c r="I423" s="1" t="str">
        <f>IF(Table1[[#This Row],[weekday]]&gt;=6,"weekend","weekday")</f>
        <v>weekday</v>
      </c>
      <c r="J423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423" s="1" t="str">
        <f>IF(Table1[[#This Row],[hr]]&lt;12,"Morning",IF(Table1[[#This Row],[hr]]&lt;17,"Afternoon",IF(Table1[[#This Row],[hr]]&lt;21,"Evening","Night")))</f>
        <v>Afternoon</v>
      </c>
    </row>
    <row r="424" spans="1:11" x14ac:dyDescent="0.2">
      <c r="A424" s="1">
        <v>423</v>
      </c>
      <c r="B424" s="3">
        <v>40562</v>
      </c>
      <c r="C424" s="1">
        <v>1</v>
      </c>
      <c r="D424" s="1">
        <v>15</v>
      </c>
      <c r="E424" s="1" t="b">
        <v>0</v>
      </c>
      <c r="F424" s="1">
        <v>3</v>
      </c>
      <c r="G424" s="1">
        <v>1</v>
      </c>
      <c r="H424" s="1">
        <v>0.4</v>
      </c>
      <c r="I424" s="1" t="str">
        <f>IF(Table1[[#This Row],[weekday]]&gt;=6,"weekend","weekday")</f>
        <v>weekday</v>
      </c>
      <c r="J424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424" s="1" t="str">
        <f>IF(Table1[[#This Row],[hr]]&lt;12,"Morning",IF(Table1[[#This Row],[hr]]&lt;17,"Afternoon",IF(Table1[[#This Row],[hr]]&lt;21,"Evening","Night")))</f>
        <v>Afternoon</v>
      </c>
    </row>
    <row r="425" spans="1:11" x14ac:dyDescent="0.2">
      <c r="A425" s="1">
        <v>424</v>
      </c>
      <c r="B425" s="3">
        <v>40562</v>
      </c>
      <c r="C425" s="1">
        <v>1</v>
      </c>
      <c r="D425" s="1">
        <v>16</v>
      </c>
      <c r="E425" s="1" t="b">
        <v>0</v>
      </c>
      <c r="F425" s="1">
        <v>3</v>
      </c>
      <c r="G425" s="1">
        <v>1</v>
      </c>
      <c r="H425" s="1">
        <v>0.38</v>
      </c>
      <c r="I425" s="1" t="str">
        <f>IF(Table1[[#This Row],[weekday]]&gt;=6,"weekend","weekday")</f>
        <v>weekday</v>
      </c>
      <c r="J425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425" s="1" t="str">
        <f>IF(Table1[[#This Row],[hr]]&lt;12,"Morning",IF(Table1[[#This Row],[hr]]&lt;17,"Afternoon",IF(Table1[[#This Row],[hr]]&lt;21,"Evening","Night")))</f>
        <v>Afternoon</v>
      </c>
    </row>
    <row r="426" spans="1:11" x14ac:dyDescent="0.2">
      <c r="A426" s="1">
        <v>425</v>
      </c>
      <c r="B426" s="3">
        <v>40562</v>
      </c>
      <c r="C426" s="1">
        <v>1</v>
      </c>
      <c r="D426" s="1">
        <v>17</v>
      </c>
      <c r="E426" s="1" t="b">
        <v>0</v>
      </c>
      <c r="F426" s="1">
        <v>3</v>
      </c>
      <c r="G426" s="1">
        <v>1</v>
      </c>
      <c r="H426" s="1">
        <v>0.36</v>
      </c>
      <c r="I426" s="1" t="str">
        <f>IF(Table1[[#This Row],[weekday]]&gt;=6,"weekend","weekday")</f>
        <v>weekday</v>
      </c>
      <c r="J426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426" s="1" t="str">
        <f>IF(Table1[[#This Row],[hr]]&lt;12,"Morning",IF(Table1[[#This Row],[hr]]&lt;17,"Afternoon",IF(Table1[[#This Row],[hr]]&lt;21,"Evening","Night")))</f>
        <v>Evening</v>
      </c>
    </row>
    <row r="427" spans="1:11" x14ac:dyDescent="0.2">
      <c r="A427" s="1">
        <v>426</v>
      </c>
      <c r="B427" s="3">
        <v>40562</v>
      </c>
      <c r="C427" s="1">
        <v>1</v>
      </c>
      <c r="D427" s="1">
        <v>18</v>
      </c>
      <c r="E427" s="1" t="b">
        <v>0</v>
      </c>
      <c r="F427" s="1">
        <v>3</v>
      </c>
      <c r="G427" s="1">
        <v>1</v>
      </c>
      <c r="H427" s="1">
        <v>0.34</v>
      </c>
      <c r="I427" s="1" t="str">
        <f>IF(Table1[[#This Row],[weekday]]&gt;=6,"weekend","weekday")</f>
        <v>weekday</v>
      </c>
      <c r="J427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427" s="1" t="str">
        <f>IF(Table1[[#This Row],[hr]]&lt;12,"Morning",IF(Table1[[#This Row],[hr]]&lt;17,"Afternoon",IF(Table1[[#This Row],[hr]]&lt;21,"Evening","Night")))</f>
        <v>Evening</v>
      </c>
    </row>
    <row r="428" spans="1:11" x14ac:dyDescent="0.2">
      <c r="A428" s="1">
        <v>427</v>
      </c>
      <c r="B428" s="3">
        <v>40562</v>
      </c>
      <c r="C428" s="1">
        <v>1</v>
      </c>
      <c r="D428" s="1">
        <v>19</v>
      </c>
      <c r="E428" s="1" t="b">
        <v>0</v>
      </c>
      <c r="F428" s="1">
        <v>3</v>
      </c>
      <c r="G428" s="1">
        <v>1</v>
      </c>
      <c r="H428" s="1">
        <v>0.32</v>
      </c>
      <c r="I428" s="1" t="str">
        <f>IF(Table1[[#This Row],[weekday]]&gt;=6,"weekend","weekday")</f>
        <v>weekday</v>
      </c>
      <c r="J428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428" s="1" t="str">
        <f>IF(Table1[[#This Row],[hr]]&lt;12,"Morning",IF(Table1[[#This Row],[hr]]&lt;17,"Afternoon",IF(Table1[[#This Row],[hr]]&lt;21,"Evening","Night")))</f>
        <v>Evening</v>
      </c>
    </row>
    <row r="429" spans="1:11" x14ac:dyDescent="0.2">
      <c r="A429" s="1">
        <v>428</v>
      </c>
      <c r="B429" s="3">
        <v>40562</v>
      </c>
      <c r="C429" s="1">
        <v>1</v>
      </c>
      <c r="D429" s="1">
        <v>20</v>
      </c>
      <c r="E429" s="1" t="b">
        <v>0</v>
      </c>
      <c r="F429" s="1">
        <v>3</v>
      </c>
      <c r="G429" s="1">
        <v>1</v>
      </c>
      <c r="H429" s="1">
        <v>0.32</v>
      </c>
      <c r="I429" s="1" t="str">
        <f>IF(Table1[[#This Row],[weekday]]&gt;=6,"weekend","weekday")</f>
        <v>weekday</v>
      </c>
      <c r="J429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429" s="1" t="str">
        <f>IF(Table1[[#This Row],[hr]]&lt;12,"Morning",IF(Table1[[#This Row],[hr]]&lt;17,"Afternoon",IF(Table1[[#This Row],[hr]]&lt;21,"Evening","Night")))</f>
        <v>Evening</v>
      </c>
    </row>
    <row r="430" spans="1:11" x14ac:dyDescent="0.2">
      <c r="A430" s="1">
        <v>429</v>
      </c>
      <c r="B430" s="3">
        <v>40562</v>
      </c>
      <c r="C430" s="1">
        <v>1</v>
      </c>
      <c r="D430" s="1">
        <v>21</v>
      </c>
      <c r="E430" s="1" t="b">
        <v>0</v>
      </c>
      <c r="F430" s="1">
        <v>3</v>
      </c>
      <c r="G430" s="1">
        <v>1</v>
      </c>
      <c r="H430" s="1">
        <v>0.32</v>
      </c>
      <c r="I430" s="1" t="str">
        <f>IF(Table1[[#This Row],[weekday]]&gt;=6,"weekend","weekday")</f>
        <v>weekday</v>
      </c>
      <c r="J430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430" s="1" t="str">
        <f>IF(Table1[[#This Row],[hr]]&lt;12,"Morning",IF(Table1[[#This Row],[hr]]&lt;17,"Afternoon",IF(Table1[[#This Row],[hr]]&lt;21,"Evening","Night")))</f>
        <v>Night</v>
      </c>
    </row>
    <row r="431" spans="1:11" x14ac:dyDescent="0.2">
      <c r="A431" s="1">
        <v>430</v>
      </c>
      <c r="B431" s="3">
        <v>40562</v>
      </c>
      <c r="C431" s="1">
        <v>1</v>
      </c>
      <c r="D431" s="1">
        <v>22</v>
      </c>
      <c r="E431" s="1" t="b">
        <v>0</v>
      </c>
      <c r="F431" s="1">
        <v>3</v>
      </c>
      <c r="G431" s="1">
        <v>1</v>
      </c>
      <c r="H431" s="1">
        <v>0.3</v>
      </c>
      <c r="I431" s="1" t="str">
        <f>IF(Table1[[#This Row],[weekday]]&gt;=6,"weekend","weekday")</f>
        <v>weekday</v>
      </c>
      <c r="J431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431" s="1" t="str">
        <f>IF(Table1[[#This Row],[hr]]&lt;12,"Morning",IF(Table1[[#This Row],[hr]]&lt;17,"Afternoon",IF(Table1[[#This Row],[hr]]&lt;21,"Evening","Night")))</f>
        <v>Night</v>
      </c>
    </row>
    <row r="432" spans="1:11" x14ac:dyDescent="0.2">
      <c r="A432" s="1">
        <v>431</v>
      </c>
      <c r="B432" s="3">
        <v>40562</v>
      </c>
      <c r="C432" s="1">
        <v>1</v>
      </c>
      <c r="D432" s="1">
        <v>23</v>
      </c>
      <c r="E432" s="1" t="b">
        <v>0</v>
      </c>
      <c r="F432" s="1">
        <v>3</v>
      </c>
      <c r="G432" s="1">
        <v>1</v>
      </c>
      <c r="H432" s="1">
        <v>0.3</v>
      </c>
      <c r="I432" s="1" t="str">
        <f>IF(Table1[[#This Row],[weekday]]&gt;=6,"weekend","weekday")</f>
        <v>weekday</v>
      </c>
      <c r="J432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432" s="1" t="str">
        <f>IF(Table1[[#This Row],[hr]]&lt;12,"Morning",IF(Table1[[#This Row],[hr]]&lt;17,"Afternoon",IF(Table1[[#This Row],[hr]]&lt;21,"Evening","Night")))</f>
        <v>Night</v>
      </c>
    </row>
    <row r="433" spans="1:11" x14ac:dyDescent="0.2">
      <c r="A433" s="1">
        <v>432</v>
      </c>
      <c r="B433" s="3">
        <v>40563</v>
      </c>
      <c r="C433" s="1">
        <v>1</v>
      </c>
      <c r="D433" s="1">
        <v>0</v>
      </c>
      <c r="E433" s="1" t="b">
        <v>0</v>
      </c>
      <c r="F433" s="1">
        <v>4</v>
      </c>
      <c r="G433" s="1">
        <v>1</v>
      </c>
      <c r="H433" s="1">
        <v>0.26</v>
      </c>
      <c r="I433" s="1" t="str">
        <f>IF(Table1[[#This Row],[weekday]]&gt;=6,"weekend","weekday")</f>
        <v>weekday</v>
      </c>
      <c r="J433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433" s="1" t="str">
        <f>IF(Table1[[#This Row],[hr]]&lt;12,"Morning",IF(Table1[[#This Row],[hr]]&lt;17,"Afternoon",IF(Table1[[#This Row],[hr]]&lt;21,"Evening","Night")))</f>
        <v>Morning</v>
      </c>
    </row>
    <row r="434" spans="1:11" x14ac:dyDescent="0.2">
      <c r="A434" s="1">
        <v>433</v>
      </c>
      <c r="B434" s="3">
        <v>40563</v>
      </c>
      <c r="C434" s="1">
        <v>1</v>
      </c>
      <c r="D434" s="1">
        <v>1</v>
      </c>
      <c r="E434" s="1" t="b">
        <v>0</v>
      </c>
      <c r="F434" s="1">
        <v>4</v>
      </c>
      <c r="G434" s="1">
        <v>1</v>
      </c>
      <c r="H434" s="1">
        <v>0.26</v>
      </c>
      <c r="I434" s="1" t="str">
        <f>IF(Table1[[#This Row],[weekday]]&gt;=6,"weekend","weekday")</f>
        <v>weekday</v>
      </c>
      <c r="J434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434" s="1" t="str">
        <f>IF(Table1[[#This Row],[hr]]&lt;12,"Morning",IF(Table1[[#This Row],[hr]]&lt;17,"Afternoon",IF(Table1[[#This Row],[hr]]&lt;21,"Evening","Night")))</f>
        <v>Morning</v>
      </c>
    </row>
    <row r="435" spans="1:11" x14ac:dyDescent="0.2">
      <c r="A435" s="1">
        <v>434</v>
      </c>
      <c r="B435" s="3">
        <v>40563</v>
      </c>
      <c r="C435" s="1">
        <v>1</v>
      </c>
      <c r="D435" s="1">
        <v>2</v>
      </c>
      <c r="E435" s="1" t="b">
        <v>0</v>
      </c>
      <c r="F435" s="1">
        <v>4</v>
      </c>
      <c r="G435" s="1">
        <v>1</v>
      </c>
      <c r="H435" s="1">
        <v>0.26</v>
      </c>
      <c r="I435" s="1" t="str">
        <f>IF(Table1[[#This Row],[weekday]]&gt;=6,"weekend","weekday")</f>
        <v>weekday</v>
      </c>
      <c r="J435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435" s="1" t="str">
        <f>IF(Table1[[#This Row],[hr]]&lt;12,"Morning",IF(Table1[[#This Row],[hr]]&lt;17,"Afternoon",IF(Table1[[#This Row],[hr]]&lt;21,"Evening","Night")))</f>
        <v>Morning</v>
      </c>
    </row>
    <row r="436" spans="1:11" x14ac:dyDescent="0.2">
      <c r="A436" s="1">
        <v>435</v>
      </c>
      <c r="B436" s="3">
        <v>40563</v>
      </c>
      <c r="C436" s="1">
        <v>1</v>
      </c>
      <c r="D436" s="1">
        <v>3</v>
      </c>
      <c r="E436" s="1" t="b">
        <v>0</v>
      </c>
      <c r="F436" s="1">
        <v>4</v>
      </c>
      <c r="G436" s="1">
        <v>1</v>
      </c>
      <c r="H436" s="1">
        <v>0.26</v>
      </c>
      <c r="I436" s="1" t="str">
        <f>IF(Table1[[#This Row],[weekday]]&gt;=6,"weekend","weekday")</f>
        <v>weekday</v>
      </c>
      <c r="J436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436" s="1" t="str">
        <f>IF(Table1[[#This Row],[hr]]&lt;12,"Morning",IF(Table1[[#This Row],[hr]]&lt;17,"Afternoon",IF(Table1[[#This Row],[hr]]&lt;21,"Evening","Night")))</f>
        <v>Morning</v>
      </c>
    </row>
    <row r="437" spans="1:11" x14ac:dyDescent="0.2">
      <c r="A437" s="1">
        <v>436</v>
      </c>
      <c r="B437" s="3">
        <v>40563</v>
      </c>
      <c r="C437" s="1">
        <v>1</v>
      </c>
      <c r="D437" s="1">
        <v>4</v>
      </c>
      <c r="E437" s="1" t="b">
        <v>0</v>
      </c>
      <c r="F437" s="1">
        <v>4</v>
      </c>
      <c r="G437" s="1">
        <v>1</v>
      </c>
      <c r="H437" s="1">
        <v>0.26</v>
      </c>
      <c r="I437" s="1" t="str">
        <f>IF(Table1[[#This Row],[weekday]]&gt;=6,"weekend","weekday")</f>
        <v>weekday</v>
      </c>
      <c r="J437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437" s="1" t="str">
        <f>IF(Table1[[#This Row],[hr]]&lt;12,"Morning",IF(Table1[[#This Row],[hr]]&lt;17,"Afternoon",IF(Table1[[#This Row],[hr]]&lt;21,"Evening","Night")))</f>
        <v>Morning</v>
      </c>
    </row>
    <row r="438" spans="1:11" x14ac:dyDescent="0.2">
      <c r="A438" s="1">
        <v>437</v>
      </c>
      <c r="B438" s="3">
        <v>40563</v>
      </c>
      <c r="C438" s="1">
        <v>1</v>
      </c>
      <c r="D438" s="1">
        <v>5</v>
      </c>
      <c r="E438" s="1" t="b">
        <v>0</v>
      </c>
      <c r="F438" s="1">
        <v>4</v>
      </c>
      <c r="G438" s="1">
        <v>1</v>
      </c>
      <c r="H438" s="1">
        <v>0.24</v>
      </c>
      <c r="I438" s="1" t="str">
        <f>IF(Table1[[#This Row],[weekday]]&gt;=6,"weekend","weekday")</f>
        <v>weekday</v>
      </c>
      <c r="J438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438" s="1" t="str">
        <f>IF(Table1[[#This Row],[hr]]&lt;12,"Morning",IF(Table1[[#This Row],[hr]]&lt;17,"Afternoon",IF(Table1[[#This Row],[hr]]&lt;21,"Evening","Night")))</f>
        <v>Morning</v>
      </c>
    </row>
    <row r="439" spans="1:11" x14ac:dyDescent="0.2">
      <c r="A439" s="1">
        <v>438</v>
      </c>
      <c r="B439" s="3">
        <v>40563</v>
      </c>
      <c r="C439" s="1">
        <v>1</v>
      </c>
      <c r="D439" s="1">
        <v>6</v>
      </c>
      <c r="E439" s="1" t="b">
        <v>0</v>
      </c>
      <c r="F439" s="1">
        <v>4</v>
      </c>
      <c r="G439" s="1">
        <v>1</v>
      </c>
      <c r="H439" s="1">
        <v>0.22</v>
      </c>
      <c r="I439" s="1" t="str">
        <f>IF(Table1[[#This Row],[weekday]]&gt;=6,"weekend","weekday")</f>
        <v>weekday</v>
      </c>
      <c r="J439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439" s="1" t="str">
        <f>IF(Table1[[#This Row],[hr]]&lt;12,"Morning",IF(Table1[[#This Row],[hr]]&lt;17,"Afternoon",IF(Table1[[#This Row],[hr]]&lt;21,"Evening","Night")))</f>
        <v>Morning</v>
      </c>
    </row>
    <row r="440" spans="1:11" x14ac:dyDescent="0.2">
      <c r="A440" s="1">
        <v>439</v>
      </c>
      <c r="B440" s="3">
        <v>40563</v>
      </c>
      <c r="C440" s="1">
        <v>1</v>
      </c>
      <c r="D440" s="1">
        <v>7</v>
      </c>
      <c r="E440" s="1" t="b">
        <v>0</v>
      </c>
      <c r="F440" s="1">
        <v>4</v>
      </c>
      <c r="G440" s="1">
        <v>1</v>
      </c>
      <c r="H440" s="1">
        <v>0.22</v>
      </c>
      <c r="I440" s="1" t="str">
        <f>IF(Table1[[#This Row],[weekday]]&gt;=6,"weekend","weekday")</f>
        <v>weekday</v>
      </c>
      <c r="J440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440" s="1" t="str">
        <f>IF(Table1[[#This Row],[hr]]&lt;12,"Morning",IF(Table1[[#This Row],[hr]]&lt;17,"Afternoon",IF(Table1[[#This Row],[hr]]&lt;21,"Evening","Night")))</f>
        <v>Morning</v>
      </c>
    </row>
    <row r="441" spans="1:11" x14ac:dyDescent="0.2">
      <c r="A441" s="1">
        <v>440</v>
      </c>
      <c r="B441" s="3">
        <v>40563</v>
      </c>
      <c r="C441" s="1">
        <v>1</v>
      </c>
      <c r="D441" s="1">
        <v>8</v>
      </c>
      <c r="E441" s="1" t="b">
        <v>0</v>
      </c>
      <c r="F441" s="1">
        <v>4</v>
      </c>
      <c r="G441" s="1">
        <v>1</v>
      </c>
      <c r="H441" s="1">
        <v>0.22</v>
      </c>
      <c r="I441" s="1" t="str">
        <f>IF(Table1[[#This Row],[weekday]]&gt;=6,"weekend","weekday")</f>
        <v>weekday</v>
      </c>
      <c r="J441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441" s="1" t="str">
        <f>IF(Table1[[#This Row],[hr]]&lt;12,"Morning",IF(Table1[[#This Row],[hr]]&lt;17,"Afternoon",IF(Table1[[#This Row],[hr]]&lt;21,"Evening","Night")))</f>
        <v>Morning</v>
      </c>
    </row>
    <row r="442" spans="1:11" x14ac:dyDescent="0.2">
      <c r="A442" s="1">
        <v>441</v>
      </c>
      <c r="B442" s="3">
        <v>40563</v>
      </c>
      <c r="C442" s="1">
        <v>1</v>
      </c>
      <c r="D442" s="1">
        <v>9</v>
      </c>
      <c r="E442" s="1" t="b">
        <v>0</v>
      </c>
      <c r="F442" s="1">
        <v>4</v>
      </c>
      <c r="G442" s="1">
        <v>2</v>
      </c>
      <c r="H442" s="1">
        <v>0.24</v>
      </c>
      <c r="I442" s="1" t="str">
        <f>IF(Table1[[#This Row],[weekday]]&gt;=6,"weekend","weekday")</f>
        <v>weekday</v>
      </c>
      <c r="J442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442" s="1" t="str">
        <f>IF(Table1[[#This Row],[hr]]&lt;12,"Morning",IF(Table1[[#This Row],[hr]]&lt;17,"Afternoon",IF(Table1[[#This Row],[hr]]&lt;21,"Evening","Night")))</f>
        <v>Morning</v>
      </c>
    </row>
    <row r="443" spans="1:11" x14ac:dyDescent="0.2">
      <c r="A443" s="1">
        <v>442</v>
      </c>
      <c r="B443" s="3">
        <v>40563</v>
      </c>
      <c r="C443" s="1">
        <v>1</v>
      </c>
      <c r="D443" s="1">
        <v>10</v>
      </c>
      <c r="E443" s="1" t="b">
        <v>0</v>
      </c>
      <c r="F443" s="1">
        <v>4</v>
      </c>
      <c r="G443" s="1">
        <v>1</v>
      </c>
      <c r="H443" s="1">
        <v>0.26</v>
      </c>
      <c r="I443" s="1" t="str">
        <f>IF(Table1[[#This Row],[weekday]]&gt;=6,"weekend","weekday")</f>
        <v>weekday</v>
      </c>
      <c r="J443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443" s="1" t="str">
        <f>IF(Table1[[#This Row],[hr]]&lt;12,"Morning",IF(Table1[[#This Row],[hr]]&lt;17,"Afternoon",IF(Table1[[#This Row],[hr]]&lt;21,"Evening","Night")))</f>
        <v>Morning</v>
      </c>
    </row>
    <row r="444" spans="1:11" x14ac:dyDescent="0.2">
      <c r="A444" s="1">
        <v>443</v>
      </c>
      <c r="B444" s="3">
        <v>40563</v>
      </c>
      <c r="C444" s="1">
        <v>1</v>
      </c>
      <c r="D444" s="1">
        <v>11</v>
      </c>
      <c r="E444" s="1" t="b">
        <v>0</v>
      </c>
      <c r="F444" s="1">
        <v>4</v>
      </c>
      <c r="G444" s="1">
        <v>2</v>
      </c>
      <c r="H444" s="1">
        <v>0.28000000000000003</v>
      </c>
      <c r="I444" s="1" t="str">
        <f>IF(Table1[[#This Row],[weekday]]&gt;=6,"weekend","weekday")</f>
        <v>weekday</v>
      </c>
      <c r="J444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444" s="1" t="str">
        <f>IF(Table1[[#This Row],[hr]]&lt;12,"Morning",IF(Table1[[#This Row],[hr]]&lt;17,"Afternoon",IF(Table1[[#This Row],[hr]]&lt;21,"Evening","Night")))</f>
        <v>Morning</v>
      </c>
    </row>
    <row r="445" spans="1:11" x14ac:dyDescent="0.2">
      <c r="A445" s="1">
        <v>444</v>
      </c>
      <c r="B445" s="3">
        <v>40563</v>
      </c>
      <c r="C445" s="1">
        <v>1</v>
      </c>
      <c r="D445" s="1">
        <v>12</v>
      </c>
      <c r="E445" s="1" t="b">
        <v>0</v>
      </c>
      <c r="F445" s="1">
        <v>4</v>
      </c>
      <c r="G445" s="1">
        <v>2</v>
      </c>
      <c r="H445" s="1">
        <v>0.3</v>
      </c>
      <c r="I445" s="1" t="str">
        <f>IF(Table1[[#This Row],[weekday]]&gt;=6,"weekend","weekday")</f>
        <v>weekday</v>
      </c>
      <c r="J445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445" s="1" t="str">
        <f>IF(Table1[[#This Row],[hr]]&lt;12,"Morning",IF(Table1[[#This Row],[hr]]&lt;17,"Afternoon",IF(Table1[[#This Row],[hr]]&lt;21,"Evening","Night")))</f>
        <v>Afternoon</v>
      </c>
    </row>
    <row r="446" spans="1:11" x14ac:dyDescent="0.2">
      <c r="A446" s="1">
        <v>445</v>
      </c>
      <c r="B446" s="3">
        <v>40563</v>
      </c>
      <c r="C446" s="1">
        <v>1</v>
      </c>
      <c r="D446" s="1">
        <v>13</v>
      </c>
      <c r="E446" s="1" t="b">
        <v>0</v>
      </c>
      <c r="F446" s="1">
        <v>4</v>
      </c>
      <c r="G446" s="1">
        <v>2</v>
      </c>
      <c r="H446" s="1">
        <v>0.28000000000000003</v>
      </c>
      <c r="I446" s="1" t="str">
        <f>IF(Table1[[#This Row],[weekday]]&gt;=6,"weekend","weekday")</f>
        <v>weekday</v>
      </c>
      <c r="J446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446" s="1" t="str">
        <f>IF(Table1[[#This Row],[hr]]&lt;12,"Morning",IF(Table1[[#This Row],[hr]]&lt;17,"Afternoon",IF(Table1[[#This Row],[hr]]&lt;21,"Evening","Night")))</f>
        <v>Afternoon</v>
      </c>
    </row>
    <row r="447" spans="1:11" x14ac:dyDescent="0.2">
      <c r="A447" s="1">
        <v>446</v>
      </c>
      <c r="B447" s="3">
        <v>40563</v>
      </c>
      <c r="C447" s="1">
        <v>1</v>
      </c>
      <c r="D447" s="1">
        <v>14</v>
      </c>
      <c r="E447" s="1" t="b">
        <v>0</v>
      </c>
      <c r="F447" s="1">
        <v>4</v>
      </c>
      <c r="G447" s="1">
        <v>2</v>
      </c>
      <c r="H447" s="1">
        <v>0.3</v>
      </c>
      <c r="I447" s="1" t="str">
        <f>IF(Table1[[#This Row],[weekday]]&gt;=6,"weekend","weekday")</f>
        <v>weekday</v>
      </c>
      <c r="J447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447" s="1" t="str">
        <f>IF(Table1[[#This Row],[hr]]&lt;12,"Morning",IF(Table1[[#This Row],[hr]]&lt;17,"Afternoon",IF(Table1[[#This Row],[hr]]&lt;21,"Evening","Night")))</f>
        <v>Afternoon</v>
      </c>
    </row>
    <row r="448" spans="1:11" x14ac:dyDescent="0.2">
      <c r="A448" s="1">
        <v>447</v>
      </c>
      <c r="B448" s="3">
        <v>40563</v>
      </c>
      <c r="C448" s="1">
        <v>1</v>
      </c>
      <c r="D448" s="1">
        <v>15</v>
      </c>
      <c r="E448" s="1" t="b">
        <v>0</v>
      </c>
      <c r="F448" s="1">
        <v>4</v>
      </c>
      <c r="G448" s="1">
        <v>2</v>
      </c>
      <c r="H448" s="1">
        <v>0.32</v>
      </c>
      <c r="I448" s="1" t="str">
        <f>IF(Table1[[#This Row],[weekday]]&gt;=6,"weekend","weekday")</f>
        <v>weekday</v>
      </c>
      <c r="J448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448" s="1" t="str">
        <f>IF(Table1[[#This Row],[hr]]&lt;12,"Morning",IF(Table1[[#This Row],[hr]]&lt;17,"Afternoon",IF(Table1[[#This Row],[hr]]&lt;21,"Evening","Night")))</f>
        <v>Afternoon</v>
      </c>
    </row>
    <row r="449" spans="1:11" x14ac:dyDescent="0.2">
      <c r="A449" s="1">
        <v>448</v>
      </c>
      <c r="B449" s="3">
        <v>40563</v>
      </c>
      <c r="C449" s="1">
        <v>1</v>
      </c>
      <c r="D449" s="1">
        <v>16</v>
      </c>
      <c r="E449" s="1" t="b">
        <v>0</v>
      </c>
      <c r="F449" s="1">
        <v>4</v>
      </c>
      <c r="G449" s="1">
        <v>2</v>
      </c>
      <c r="H449" s="1">
        <v>0.3</v>
      </c>
      <c r="I449" s="1" t="str">
        <f>IF(Table1[[#This Row],[weekday]]&gt;=6,"weekend","weekday")</f>
        <v>weekday</v>
      </c>
      <c r="J449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449" s="1" t="str">
        <f>IF(Table1[[#This Row],[hr]]&lt;12,"Morning",IF(Table1[[#This Row],[hr]]&lt;17,"Afternoon",IF(Table1[[#This Row],[hr]]&lt;21,"Evening","Night")))</f>
        <v>Afternoon</v>
      </c>
    </row>
    <row r="450" spans="1:11" x14ac:dyDescent="0.2">
      <c r="A450" s="1">
        <v>449</v>
      </c>
      <c r="B450" s="3">
        <v>40563</v>
      </c>
      <c r="C450" s="1">
        <v>1</v>
      </c>
      <c r="D450" s="1">
        <v>17</v>
      </c>
      <c r="E450" s="1" t="b">
        <v>0</v>
      </c>
      <c r="F450" s="1">
        <v>4</v>
      </c>
      <c r="G450" s="1">
        <v>2</v>
      </c>
      <c r="H450" s="1">
        <v>0.3</v>
      </c>
      <c r="I450" s="1" t="str">
        <f>IF(Table1[[#This Row],[weekday]]&gt;=6,"weekend","weekday")</f>
        <v>weekday</v>
      </c>
      <c r="J450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450" s="1" t="str">
        <f>IF(Table1[[#This Row],[hr]]&lt;12,"Morning",IF(Table1[[#This Row],[hr]]&lt;17,"Afternoon",IF(Table1[[#This Row],[hr]]&lt;21,"Evening","Night")))</f>
        <v>Evening</v>
      </c>
    </row>
    <row r="451" spans="1:11" x14ac:dyDescent="0.2">
      <c r="A451" s="1">
        <v>450</v>
      </c>
      <c r="B451" s="3">
        <v>40563</v>
      </c>
      <c r="C451" s="1">
        <v>1</v>
      </c>
      <c r="D451" s="1">
        <v>18</v>
      </c>
      <c r="E451" s="1" t="b">
        <v>0</v>
      </c>
      <c r="F451" s="1">
        <v>4</v>
      </c>
      <c r="G451" s="1">
        <v>2</v>
      </c>
      <c r="H451" s="1">
        <v>0.26</v>
      </c>
      <c r="I451" s="1" t="str">
        <f>IF(Table1[[#This Row],[weekday]]&gt;=6,"weekend","weekday")</f>
        <v>weekday</v>
      </c>
      <c r="J451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451" s="1" t="str">
        <f>IF(Table1[[#This Row],[hr]]&lt;12,"Morning",IF(Table1[[#This Row],[hr]]&lt;17,"Afternoon",IF(Table1[[#This Row],[hr]]&lt;21,"Evening","Night")))</f>
        <v>Evening</v>
      </c>
    </row>
    <row r="452" spans="1:11" x14ac:dyDescent="0.2">
      <c r="A452" s="1">
        <v>451</v>
      </c>
      <c r="B452" s="3">
        <v>40563</v>
      </c>
      <c r="C452" s="1">
        <v>1</v>
      </c>
      <c r="D452" s="1">
        <v>19</v>
      </c>
      <c r="E452" s="1" t="b">
        <v>0</v>
      </c>
      <c r="F452" s="1">
        <v>4</v>
      </c>
      <c r="G452" s="1">
        <v>1</v>
      </c>
      <c r="H452" s="1">
        <v>0.26</v>
      </c>
      <c r="I452" s="1" t="str">
        <f>IF(Table1[[#This Row],[weekday]]&gt;=6,"weekend","weekday")</f>
        <v>weekday</v>
      </c>
      <c r="J452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452" s="1" t="str">
        <f>IF(Table1[[#This Row],[hr]]&lt;12,"Morning",IF(Table1[[#This Row],[hr]]&lt;17,"Afternoon",IF(Table1[[#This Row],[hr]]&lt;21,"Evening","Night")))</f>
        <v>Evening</v>
      </c>
    </row>
    <row r="453" spans="1:11" x14ac:dyDescent="0.2">
      <c r="A453" s="1">
        <v>452</v>
      </c>
      <c r="B453" s="3">
        <v>40563</v>
      </c>
      <c r="C453" s="1">
        <v>1</v>
      </c>
      <c r="D453" s="1">
        <v>20</v>
      </c>
      <c r="E453" s="1" t="b">
        <v>0</v>
      </c>
      <c r="F453" s="1">
        <v>4</v>
      </c>
      <c r="G453" s="1">
        <v>2</v>
      </c>
      <c r="H453" s="1">
        <v>0.26</v>
      </c>
      <c r="I453" s="1" t="str">
        <f>IF(Table1[[#This Row],[weekday]]&gt;=6,"weekend","weekday")</f>
        <v>weekday</v>
      </c>
      <c r="J453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453" s="1" t="str">
        <f>IF(Table1[[#This Row],[hr]]&lt;12,"Morning",IF(Table1[[#This Row],[hr]]&lt;17,"Afternoon",IF(Table1[[#This Row],[hr]]&lt;21,"Evening","Night")))</f>
        <v>Evening</v>
      </c>
    </row>
    <row r="454" spans="1:11" x14ac:dyDescent="0.2">
      <c r="A454" s="1">
        <v>453</v>
      </c>
      <c r="B454" s="3">
        <v>40563</v>
      </c>
      <c r="C454" s="1">
        <v>1</v>
      </c>
      <c r="D454" s="1">
        <v>21</v>
      </c>
      <c r="E454" s="1" t="b">
        <v>0</v>
      </c>
      <c r="F454" s="1">
        <v>4</v>
      </c>
      <c r="G454" s="1">
        <v>2</v>
      </c>
      <c r="H454" s="1">
        <v>0.24</v>
      </c>
      <c r="I454" s="1" t="str">
        <f>IF(Table1[[#This Row],[weekday]]&gt;=6,"weekend","weekday")</f>
        <v>weekday</v>
      </c>
      <c r="J454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454" s="1" t="str">
        <f>IF(Table1[[#This Row],[hr]]&lt;12,"Morning",IF(Table1[[#This Row],[hr]]&lt;17,"Afternoon",IF(Table1[[#This Row],[hr]]&lt;21,"Evening","Night")))</f>
        <v>Night</v>
      </c>
    </row>
    <row r="455" spans="1:11" x14ac:dyDescent="0.2">
      <c r="A455" s="1">
        <v>454</v>
      </c>
      <c r="B455" s="3">
        <v>40563</v>
      </c>
      <c r="C455" s="1">
        <v>1</v>
      </c>
      <c r="D455" s="1">
        <v>22</v>
      </c>
      <c r="E455" s="1" t="b">
        <v>0</v>
      </c>
      <c r="F455" s="1">
        <v>4</v>
      </c>
      <c r="G455" s="1">
        <v>2</v>
      </c>
      <c r="H455" s="1">
        <v>0.24</v>
      </c>
      <c r="I455" s="1" t="str">
        <f>IF(Table1[[#This Row],[weekday]]&gt;=6,"weekend","weekday")</f>
        <v>weekday</v>
      </c>
      <c r="J455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455" s="1" t="str">
        <f>IF(Table1[[#This Row],[hr]]&lt;12,"Morning",IF(Table1[[#This Row],[hr]]&lt;17,"Afternoon",IF(Table1[[#This Row],[hr]]&lt;21,"Evening","Night")))</f>
        <v>Night</v>
      </c>
    </row>
    <row r="456" spans="1:11" x14ac:dyDescent="0.2">
      <c r="A456" s="1">
        <v>455</v>
      </c>
      <c r="B456" s="3">
        <v>40563</v>
      </c>
      <c r="C456" s="1">
        <v>1</v>
      </c>
      <c r="D456" s="1">
        <v>23</v>
      </c>
      <c r="E456" s="1" t="b">
        <v>0</v>
      </c>
      <c r="F456" s="1">
        <v>4</v>
      </c>
      <c r="G456" s="1">
        <v>2</v>
      </c>
      <c r="H456" s="1">
        <v>0.24</v>
      </c>
      <c r="I456" s="1" t="str">
        <f>IF(Table1[[#This Row],[weekday]]&gt;=6,"weekend","weekday")</f>
        <v>weekday</v>
      </c>
      <c r="J456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456" s="1" t="str">
        <f>IF(Table1[[#This Row],[hr]]&lt;12,"Morning",IF(Table1[[#This Row],[hr]]&lt;17,"Afternoon",IF(Table1[[#This Row],[hr]]&lt;21,"Evening","Night")))</f>
        <v>Night</v>
      </c>
    </row>
    <row r="457" spans="1:11" x14ac:dyDescent="0.2">
      <c r="A457" s="1">
        <v>456</v>
      </c>
      <c r="B457" s="3">
        <v>40564</v>
      </c>
      <c r="C457" s="1">
        <v>1</v>
      </c>
      <c r="D457" s="1">
        <v>0</v>
      </c>
      <c r="E457" s="1" t="b">
        <v>0</v>
      </c>
      <c r="F457" s="1">
        <v>5</v>
      </c>
      <c r="G457" s="1">
        <v>2</v>
      </c>
      <c r="H457" s="1">
        <v>0.24</v>
      </c>
      <c r="I457" s="1" t="str">
        <f>IF(Table1[[#This Row],[weekday]]&gt;=6,"weekend","weekday")</f>
        <v>weekday</v>
      </c>
      <c r="J457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457" s="1" t="str">
        <f>IF(Table1[[#This Row],[hr]]&lt;12,"Morning",IF(Table1[[#This Row],[hr]]&lt;17,"Afternoon",IF(Table1[[#This Row],[hr]]&lt;21,"Evening","Night")))</f>
        <v>Morning</v>
      </c>
    </row>
    <row r="458" spans="1:11" x14ac:dyDescent="0.2">
      <c r="A458" s="1">
        <v>457</v>
      </c>
      <c r="B458" s="3">
        <v>40564</v>
      </c>
      <c r="C458" s="1">
        <v>1</v>
      </c>
      <c r="D458" s="1">
        <v>1</v>
      </c>
      <c r="E458" s="1" t="b">
        <v>0</v>
      </c>
      <c r="F458" s="1">
        <v>5</v>
      </c>
      <c r="G458" s="1">
        <v>2</v>
      </c>
      <c r="H458" s="1">
        <v>0.24</v>
      </c>
      <c r="I458" s="1" t="str">
        <f>IF(Table1[[#This Row],[weekday]]&gt;=6,"weekend","weekday")</f>
        <v>weekday</v>
      </c>
      <c r="J458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458" s="1" t="str">
        <f>IF(Table1[[#This Row],[hr]]&lt;12,"Morning",IF(Table1[[#This Row],[hr]]&lt;17,"Afternoon",IF(Table1[[#This Row],[hr]]&lt;21,"Evening","Night")))</f>
        <v>Morning</v>
      </c>
    </row>
    <row r="459" spans="1:11" x14ac:dyDescent="0.2">
      <c r="A459" s="1">
        <v>458</v>
      </c>
      <c r="B459" s="3">
        <v>40564</v>
      </c>
      <c r="C459" s="1">
        <v>1</v>
      </c>
      <c r="D459" s="1">
        <v>2</v>
      </c>
      <c r="E459" s="1" t="b">
        <v>0</v>
      </c>
      <c r="F459" s="1">
        <v>5</v>
      </c>
      <c r="G459" s="1">
        <v>3</v>
      </c>
      <c r="H459" s="1">
        <v>0.24</v>
      </c>
      <c r="I459" s="1" t="str">
        <f>IF(Table1[[#This Row],[weekday]]&gt;=6,"weekend","weekday")</f>
        <v>weekday</v>
      </c>
      <c r="J459" s="1" t="str">
        <f>IF(Table1[[#This Row],[weathersit]]=1,"clear sky",IF(Table1[[#This Row],[weathersit]]=2,"Little cloudy",IF(Table1[[#This Row],[weathersit]]=3,"Little Rain",IF(Table1[[#This Row],[weathersit]]=4,"Heavy Rainfoll"," "))))</f>
        <v>Little Rain</v>
      </c>
      <c r="K459" s="1" t="str">
        <f>IF(Table1[[#This Row],[hr]]&lt;12,"Morning",IF(Table1[[#This Row],[hr]]&lt;17,"Afternoon",IF(Table1[[#This Row],[hr]]&lt;21,"Evening","Night")))</f>
        <v>Morning</v>
      </c>
    </row>
    <row r="460" spans="1:11" x14ac:dyDescent="0.2">
      <c r="A460" s="1">
        <v>459</v>
      </c>
      <c r="B460" s="3">
        <v>40564</v>
      </c>
      <c r="C460" s="1">
        <v>1</v>
      </c>
      <c r="D460" s="1">
        <v>3</v>
      </c>
      <c r="E460" s="1" t="b">
        <v>0</v>
      </c>
      <c r="F460" s="1">
        <v>5</v>
      </c>
      <c r="G460" s="1">
        <v>3</v>
      </c>
      <c r="H460" s="1">
        <v>0.22</v>
      </c>
      <c r="I460" s="1" t="str">
        <f>IF(Table1[[#This Row],[weekday]]&gt;=6,"weekend","weekday")</f>
        <v>weekday</v>
      </c>
      <c r="J460" s="1" t="str">
        <f>IF(Table1[[#This Row],[weathersit]]=1,"clear sky",IF(Table1[[#This Row],[weathersit]]=2,"Little cloudy",IF(Table1[[#This Row],[weathersit]]=3,"Little Rain",IF(Table1[[#This Row],[weathersit]]=4,"Heavy Rainfoll"," "))))</f>
        <v>Little Rain</v>
      </c>
      <c r="K460" s="1" t="str">
        <f>IF(Table1[[#This Row],[hr]]&lt;12,"Morning",IF(Table1[[#This Row],[hr]]&lt;17,"Afternoon",IF(Table1[[#This Row],[hr]]&lt;21,"Evening","Night")))</f>
        <v>Morning</v>
      </c>
    </row>
    <row r="461" spans="1:11" x14ac:dyDescent="0.2">
      <c r="A461" s="1">
        <v>460</v>
      </c>
      <c r="B461" s="3">
        <v>40564</v>
      </c>
      <c r="C461" s="1">
        <v>1</v>
      </c>
      <c r="D461" s="1">
        <v>4</v>
      </c>
      <c r="E461" s="1" t="b">
        <v>0</v>
      </c>
      <c r="F461" s="1">
        <v>5</v>
      </c>
      <c r="G461" s="1">
        <v>2</v>
      </c>
      <c r="H461" s="1">
        <v>0.22</v>
      </c>
      <c r="I461" s="1" t="str">
        <f>IF(Table1[[#This Row],[weekday]]&gt;=6,"weekend","weekday")</f>
        <v>weekday</v>
      </c>
      <c r="J461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461" s="1" t="str">
        <f>IF(Table1[[#This Row],[hr]]&lt;12,"Morning",IF(Table1[[#This Row],[hr]]&lt;17,"Afternoon",IF(Table1[[#This Row],[hr]]&lt;21,"Evening","Night")))</f>
        <v>Morning</v>
      </c>
    </row>
    <row r="462" spans="1:11" x14ac:dyDescent="0.2">
      <c r="A462" s="1">
        <v>461</v>
      </c>
      <c r="B462" s="3">
        <v>40564</v>
      </c>
      <c r="C462" s="1">
        <v>1</v>
      </c>
      <c r="D462" s="1">
        <v>5</v>
      </c>
      <c r="E462" s="1" t="b">
        <v>0</v>
      </c>
      <c r="F462" s="1">
        <v>5</v>
      </c>
      <c r="G462" s="1">
        <v>1</v>
      </c>
      <c r="H462" s="1">
        <v>0.24</v>
      </c>
      <c r="I462" s="1" t="str">
        <f>IF(Table1[[#This Row],[weekday]]&gt;=6,"weekend","weekday")</f>
        <v>weekday</v>
      </c>
      <c r="J462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462" s="1" t="str">
        <f>IF(Table1[[#This Row],[hr]]&lt;12,"Morning",IF(Table1[[#This Row],[hr]]&lt;17,"Afternoon",IF(Table1[[#This Row],[hr]]&lt;21,"Evening","Night")))</f>
        <v>Morning</v>
      </c>
    </row>
    <row r="463" spans="1:11" x14ac:dyDescent="0.2">
      <c r="A463" s="1">
        <v>462</v>
      </c>
      <c r="B463" s="3">
        <v>40564</v>
      </c>
      <c r="C463" s="1">
        <v>1</v>
      </c>
      <c r="D463" s="1">
        <v>6</v>
      </c>
      <c r="E463" s="1" t="b">
        <v>0</v>
      </c>
      <c r="F463" s="1">
        <v>5</v>
      </c>
      <c r="G463" s="1">
        <v>1</v>
      </c>
      <c r="H463" s="1">
        <v>0.22</v>
      </c>
      <c r="I463" s="1" t="str">
        <f>IF(Table1[[#This Row],[weekday]]&gt;=6,"weekend","weekday")</f>
        <v>weekday</v>
      </c>
      <c r="J463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463" s="1" t="str">
        <f>IF(Table1[[#This Row],[hr]]&lt;12,"Morning",IF(Table1[[#This Row],[hr]]&lt;17,"Afternoon",IF(Table1[[#This Row],[hr]]&lt;21,"Evening","Night")))</f>
        <v>Morning</v>
      </c>
    </row>
    <row r="464" spans="1:11" x14ac:dyDescent="0.2">
      <c r="A464" s="1">
        <v>463</v>
      </c>
      <c r="B464" s="3">
        <v>40564</v>
      </c>
      <c r="C464" s="1">
        <v>1</v>
      </c>
      <c r="D464" s="1">
        <v>7</v>
      </c>
      <c r="E464" s="1" t="b">
        <v>0</v>
      </c>
      <c r="F464" s="1">
        <v>5</v>
      </c>
      <c r="G464" s="1">
        <v>1</v>
      </c>
      <c r="H464" s="1">
        <v>0.2</v>
      </c>
      <c r="I464" s="1" t="str">
        <f>IF(Table1[[#This Row],[weekday]]&gt;=6,"weekend","weekday")</f>
        <v>weekday</v>
      </c>
      <c r="J464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464" s="1" t="str">
        <f>IF(Table1[[#This Row],[hr]]&lt;12,"Morning",IF(Table1[[#This Row],[hr]]&lt;17,"Afternoon",IF(Table1[[#This Row],[hr]]&lt;21,"Evening","Night")))</f>
        <v>Morning</v>
      </c>
    </row>
    <row r="465" spans="1:11" x14ac:dyDescent="0.2">
      <c r="A465" s="1">
        <v>464</v>
      </c>
      <c r="B465" s="3">
        <v>40564</v>
      </c>
      <c r="C465" s="1">
        <v>1</v>
      </c>
      <c r="D465" s="1">
        <v>8</v>
      </c>
      <c r="E465" s="1" t="b">
        <v>0</v>
      </c>
      <c r="F465" s="1">
        <v>5</v>
      </c>
      <c r="G465" s="1">
        <v>1</v>
      </c>
      <c r="H465" s="1">
        <v>0.2</v>
      </c>
      <c r="I465" s="1" t="str">
        <f>IF(Table1[[#This Row],[weekday]]&gt;=6,"weekend","weekday")</f>
        <v>weekday</v>
      </c>
      <c r="J465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465" s="1" t="str">
        <f>IF(Table1[[#This Row],[hr]]&lt;12,"Morning",IF(Table1[[#This Row],[hr]]&lt;17,"Afternoon",IF(Table1[[#This Row],[hr]]&lt;21,"Evening","Night")))</f>
        <v>Morning</v>
      </c>
    </row>
    <row r="466" spans="1:11" x14ac:dyDescent="0.2">
      <c r="A466" s="1">
        <v>465</v>
      </c>
      <c r="B466" s="3">
        <v>40564</v>
      </c>
      <c r="C466" s="1">
        <v>1</v>
      </c>
      <c r="D466" s="1">
        <v>9</v>
      </c>
      <c r="E466" s="1" t="b">
        <v>0</v>
      </c>
      <c r="F466" s="1">
        <v>5</v>
      </c>
      <c r="G466" s="1">
        <v>1</v>
      </c>
      <c r="H466" s="1">
        <v>0.2</v>
      </c>
      <c r="I466" s="1" t="str">
        <f>IF(Table1[[#This Row],[weekday]]&gt;=6,"weekend","weekday")</f>
        <v>weekday</v>
      </c>
      <c r="J466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466" s="1" t="str">
        <f>IF(Table1[[#This Row],[hr]]&lt;12,"Morning",IF(Table1[[#This Row],[hr]]&lt;17,"Afternoon",IF(Table1[[#This Row],[hr]]&lt;21,"Evening","Night")))</f>
        <v>Morning</v>
      </c>
    </row>
    <row r="467" spans="1:11" x14ac:dyDescent="0.2">
      <c r="A467" s="1">
        <v>466</v>
      </c>
      <c r="B467" s="3">
        <v>40564</v>
      </c>
      <c r="C467" s="1">
        <v>1</v>
      </c>
      <c r="D467" s="1">
        <v>10</v>
      </c>
      <c r="E467" s="1" t="b">
        <v>0</v>
      </c>
      <c r="F467" s="1">
        <v>5</v>
      </c>
      <c r="G467" s="1">
        <v>1</v>
      </c>
      <c r="H467" s="1">
        <v>0.2</v>
      </c>
      <c r="I467" s="1" t="str">
        <f>IF(Table1[[#This Row],[weekday]]&gt;=6,"weekend","weekday")</f>
        <v>weekday</v>
      </c>
      <c r="J467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467" s="1" t="str">
        <f>IF(Table1[[#This Row],[hr]]&lt;12,"Morning",IF(Table1[[#This Row],[hr]]&lt;17,"Afternoon",IF(Table1[[#This Row],[hr]]&lt;21,"Evening","Night")))</f>
        <v>Morning</v>
      </c>
    </row>
    <row r="468" spans="1:11" x14ac:dyDescent="0.2">
      <c r="A468" s="1">
        <v>467</v>
      </c>
      <c r="B468" s="3">
        <v>40564</v>
      </c>
      <c r="C468" s="1">
        <v>1</v>
      </c>
      <c r="D468" s="1">
        <v>11</v>
      </c>
      <c r="E468" s="1" t="b">
        <v>0</v>
      </c>
      <c r="F468" s="1">
        <v>5</v>
      </c>
      <c r="G468" s="1">
        <v>1</v>
      </c>
      <c r="H468" s="1">
        <v>0.22</v>
      </c>
      <c r="I468" s="1" t="str">
        <f>IF(Table1[[#This Row],[weekday]]&gt;=6,"weekend","weekday")</f>
        <v>weekday</v>
      </c>
      <c r="J468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468" s="1" t="str">
        <f>IF(Table1[[#This Row],[hr]]&lt;12,"Morning",IF(Table1[[#This Row],[hr]]&lt;17,"Afternoon",IF(Table1[[#This Row],[hr]]&lt;21,"Evening","Night")))</f>
        <v>Morning</v>
      </c>
    </row>
    <row r="469" spans="1:11" x14ac:dyDescent="0.2">
      <c r="A469" s="1">
        <v>468</v>
      </c>
      <c r="B469" s="3">
        <v>40564</v>
      </c>
      <c r="C469" s="1">
        <v>1</v>
      </c>
      <c r="D469" s="1">
        <v>12</v>
      </c>
      <c r="E469" s="1" t="b">
        <v>0</v>
      </c>
      <c r="F469" s="1">
        <v>5</v>
      </c>
      <c r="G469" s="1">
        <v>1</v>
      </c>
      <c r="H469" s="1">
        <v>0.22</v>
      </c>
      <c r="I469" s="1" t="str">
        <f>IF(Table1[[#This Row],[weekday]]&gt;=6,"weekend","weekday")</f>
        <v>weekday</v>
      </c>
      <c r="J469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469" s="1" t="str">
        <f>IF(Table1[[#This Row],[hr]]&lt;12,"Morning",IF(Table1[[#This Row],[hr]]&lt;17,"Afternoon",IF(Table1[[#This Row],[hr]]&lt;21,"Evening","Night")))</f>
        <v>Afternoon</v>
      </c>
    </row>
    <row r="470" spans="1:11" x14ac:dyDescent="0.2">
      <c r="A470" s="1">
        <v>469</v>
      </c>
      <c r="B470" s="3">
        <v>40564</v>
      </c>
      <c r="C470" s="1">
        <v>1</v>
      </c>
      <c r="D470" s="1">
        <v>13</v>
      </c>
      <c r="E470" s="1" t="b">
        <v>0</v>
      </c>
      <c r="F470" s="1">
        <v>5</v>
      </c>
      <c r="G470" s="1">
        <v>1</v>
      </c>
      <c r="H470" s="1">
        <v>0.2</v>
      </c>
      <c r="I470" s="1" t="str">
        <f>IF(Table1[[#This Row],[weekday]]&gt;=6,"weekend","weekday")</f>
        <v>weekday</v>
      </c>
      <c r="J470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470" s="1" t="str">
        <f>IF(Table1[[#This Row],[hr]]&lt;12,"Morning",IF(Table1[[#This Row],[hr]]&lt;17,"Afternoon",IF(Table1[[#This Row],[hr]]&lt;21,"Evening","Night")))</f>
        <v>Afternoon</v>
      </c>
    </row>
    <row r="471" spans="1:11" x14ac:dyDescent="0.2">
      <c r="A471" s="1">
        <v>470</v>
      </c>
      <c r="B471" s="3">
        <v>40564</v>
      </c>
      <c r="C471" s="1">
        <v>1</v>
      </c>
      <c r="D471" s="1">
        <v>14</v>
      </c>
      <c r="E471" s="1" t="b">
        <v>0</v>
      </c>
      <c r="F471" s="1">
        <v>5</v>
      </c>
      <c r="G471" s="1">
        <v>1</v>
      </c>
      <c r="H471" s="1">
        <v>0.2</v>
      </c>
      <c r="I471" s="1" t="str">
        <f>IF(Table1[[#This Row],[weekday]]&gt;=6,"weekend","weekday")</f>
        <v>weekday</v>
      </c>
      <c r="J471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471" s="1" t="str">
        <f>IF(Table1[[#This Row],[hr]]&lt;12,"Morning",IF(Table1[[#This Row],[hr]]&lt;17,"Afternoon",IF(Table1[[#This Row],[hr]]&lt;21,"Evening","Night")))</f>
        <v>Afternoon</v>
      </c>
    </row>
    <row r="472" spans="1:11" x14ac:dyDescent="0.2">
      <c r="A472" s="1">
        <v>471</v>
      </c>
      <c r="B472" s="3">
        <v>40564</v>
      </c>
      <c r="C472" s="1">
        <v>1</v>
      </c>
      <c r="D472" s="1">
        <v>15</v>
      </c>
      <c r="E472" s="1" t="b">
        <v>0</v>
      </c>
      <c r="F472" s="1">
        <v>5</v>
      </c>
      <c r="G472" s="1">
        <v>1</v>
      </c>
      <c r="H472" s="1">
        <v>0.16</v>
      </c>
      <c r="I472" s="1" t="str">
        <f>IF(Table1[[#This Row],[weekday]]&gt;=6,"weekend","weekday")</f>
        <v>weekday</v>
      </c>
      <c r="J472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472" s="1" t="str">
        <f>IF(Table1[[#This Row],[hr]]&lt;12,"Morning",IF(Table1[[#This Row],[hr]]&lt;17,"Afternoon",IF(Table1[[#This Row],[hr]]&lt;21,"Evening","Night")))</f>
        <v>Afternoon</v>
      </c>
    </row>
    <row r="473" spans="1:11" x14ac:dyDescent="0.2">
      <c r="A473" s="1">
        <v>472</v>
      </c>
      <c r="B473" s="3">
        <v>40564</v>
      </c>
      <c r="C473" s="1">
        <v>1</v>
      </c>
      <c r="D473" s="1">
        <v>16</v>
      </c>
      <c r="E473" s="1" t="b">
        <v>0</v>
      </c>
      <c r="F473" s="1">
        <v>5</v>
      </c>
      <c r="G473" s="1">
        <v>1</v>
      </c>
      <c r="H473" s="1">
        <v>0.16</v>
      </c>
      <c r="I473" s="1" t="str">
        <f>IF(Table1[[#This Row],[weekday]]&gt;=6,"weekend","weekday")</f>
        <v>weekday</v>
      </c>
      <c r="J473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473" s="1" t="str">
        <f>IF(Table1[[#This Row],[hr]]&lt;12,"Morning",IF(Table1[[#This Row],[hr]]&lt;17,"Afternoon",IF(Table1[[#This Row],[hr]]&lt;21,"Evening","Night")))</f>
        <v>Afternoon</v>
      </c>
    </row>
    <row r="474" spans="1:11" x14ac:dyDescent="0.2">
      <c r="A474" s="1">
        <v>473</v>
      </c>
      <c r="B474" s="3">
        <v>40564</v>
      </c>
      <c r="C474" s="1">
        <v>1</v>
      </c>
      <c r="D474" s="1">
        <v>17</v>
      </c>
      <c r="E474" s="1" t="b">
        <v>0</v>
      </c>
      <c r="F474" s="1">
        <v>5</v>
      </c>
      <c r="G474" s="1">
        <v>1</v>
      </c>
      <c r="H474" s="1">
        <v>0.14000000000000001</v>
      </c>
      <c r="I474" s="1" t="str">
        <f>IF(Table1[[#This Row],[weekday]]&gt;=6,"weekend","weekday")</f>
        <v>weekday</v>
      </c>
      <c r="J474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474" s="1" t="str">
        <f>IF(Table1[[#This Row],[hr]]&lt;12,"Morning",IF(Table1[[#This Row],[hr]]&lt;17,"Afternoon",IF(Table1[[#This Row],[hr]]&lt;21,"Evening","Night")))</f>
        <v>Evening</v>
      </c>
    </row>
    <row r="475" spans="1:11" x14ac:dyDescent="0.2">
      <c r="A475" s="1">
        <v>474</v>
      </c>
      <c r="B475" s="3">
        <v>40564</v>
      </c>
      <c r="C475" s="1">
        <v>1</v>
      </c>
      <c r="D475" s="1">
        <v>18</v>
      </c>
      <c r="E475" s="1" t="b">
        <v>0</v>
      </c>
      <c r="F475" s="1">
        <v>5</v>
      </c>
      <c r="G475" s="1">
        <v>1</v>
      </c>
      <c r="H475" s="1">
        <v>0.12</v>
      </c>
      <c r="I475" s="1" t="str">
        <f>IF(Table1[[#This Row],[weekday]]&gt;=6,"weekend","weekday")</f>
        <v>weekday</v>
      </c>
      <c r="J475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475" s="1" t="str">
        <f>IF(Table1[[#This Row],[hr]]&lt;12,"Morning",IF(Table1[[#This Row],[hr]]&lt;17,"Afternoon",IF(Table1[[#This Row],[hr]]&lt;21,"Evening","Night")))</f>
        <v>Evening</v>
      </c>
    </row>
    <row r="476" spans="1:11" x14ac:dyDescent="0.2">
      <c r="A476" s="1">
        <v>475</v>
      </c>
      <c r="B476" s="3">
        <v>40564</v>
      </c>
      <c r="C476" s="1">
        <v>1</v>
      </c>
      <c r="D476" s="1">
        <v>19</v>
      </c>
      <c r="E476" s="1" t="b">
        <v>0</v>
      </c>
      <c r="F476" s="1">
        <v>5</v>
      </c>
      <c r="G476" s="1">
        <v>1</v>
      </c>
      <c r="H476" s="1">
        <v>0.12</v>
      </c>
      <c r="I476" s="1" t="str">
        <f>IF(Table1[[#This Row],[weekday]]&gt;=6,"weekend","weekday")</f>
        <v>weekday</v>
      </c>
      <c r="J476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476" s="1" t="str">
        <f>IF(Table1[[#This Row],[hr]]&lt;12,"Morning",IF(Table1[[#This Row],[hr]]&lt;17,"Afternoon",IF(Table1[[#This Row],[hr]]&lt;21,"Evening","Night")))</f>
        <v>Evening</v>
      </c>
    </row>
    <row r="477" spans="1:11" x14ac:dyDescent="0.2">
      <c r="A477" s="1">
        <v>476</v>
      </c>
      <c r="B477" s="3">
        <v>40564</v>
      </c>
      <c r="C477" s="1">
        <v>1</v>
      </c>
      <c r="D477" s="1">
        <v>20</v>
      </c>
      <c r="E477" s="1" t="b">
        <v>0</v>
      </c>
      <c r="F477" s="1">
        <v>5</v>
      </c>
      <c r="G477" s="1">
        <v>1</v>
      </c>
      <c r="H477" s="1">
        <v>0.1</v>
      </c>
      <c r="I477" s="1" t="str">
        <f>IF(Table1[[#This Row],[weekday]]&gt;=6,"weekend","weekday")</f>
        <v>weekday</v>
      </c>
      <c r="J477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477" s="1" t="str">
        <f>IF(Table1[[#This Row],[hr]]&lt;12,"Morning",IF(Table1[[#This Row],[hr]]&lt;17,"Afternoon",IF(Table1[[#This Row],[hr]]&lt;21,"Evening","Night")))</f>
        <v>Evening</v>
      </c>
    </row>
    <row r="478" spans="1:11" x14ac:dyDescent="0.2">
      <c r="A478" s="1">
        <v>477</v>
      </c>
      <c r="B478" s="3">
        <v>40564</v>
      </c>
      <c r="C478" s="1">
        <v>1</v>
      </c>
      <c r="D478" s="1">
        <v>21</v>
      </c>
      <c r="E478" s="1" t="b">
        <v>0</v>
      </c>
      <c r="F478" s="1">
        <v>5</v>
      </c>
      <c r="G478" s="1">
        <v>1</v>
      </c>
      <c r="H478" s="1">
        <v>0.08</v>
      </c>
      <c r="I478" s="1" t="str">
        <f>IF(Table1[[#This Row],[weekday]]&gt;=6,"weekend","weekday")</f>
        <v>weekday</v>
      </c>
      <c r="J478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478" s="1" t="str">
        <f>IF(Table1[[#This Row],[hr]]&lt;12,"Morning",IF(Table1[[#This Row],[hr]]&lt;17,"Afternoon",IF(Table1[[#This Row],[hr]]&lt;21,"Evening","Night")))</f>
        <v>Night</v>
      </c>
    </row>
    <row r="479" spans="1:11" x14ac:dyDescent="0.2">
      <c r="A479" s="1">
        <v>478</v>
      </c>
      <c r="B479" s="3">
        <v>40564</v>
      </c>
      <c r="C479" s="1">
        <v>1</v>
      </c>
      <c r="D479" s="1">
        <v>22</v>
      </c>
      <c r="E479" s="1" t="b">
        <v>0</v>
      </c>
      <c r="F479" s="1">
        <v>5</v>
      </c>
      <c r="G479" s="1">
        <v>1</v>
      </c>
      <c r="H479" s="1">
        <v>0.06</v>
      </c>
      <c r="I479" s="1" t="str">
        <f>IF(Table1[[#This Row],[weekday]]&gt;=6,"weekend","weekday")</f>
        <v>weekday</v>
      </c>
      <c r="J479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479" s="1" t="str">
        <f>IF(Table1[[#This Row],[hr]]&lt;12,"Morning",IF(Table1[[#This Row],[hr]]&lt;17,"Afternoon",IF(Table1[[#This Row],[hr]]&lt;21,"Evening","Night")))</f>
        <v>Night</v>
      </c>
    </row>
    <row r="480" spans="1:11" x14ac:dyDescent="0.2">
      <c r="A480" s="1">
        <v>479</v>
      </c>
      <c r="B480" s="3">
        <v>40564</v>
      </c>
      <c r="C480" s="1">
        <v>1</v>
      </c>
      <c r="D480" s="1">
        <v>23</v>
      </c>
      <c r="E480" s="1" t="b">
        <v>0</v>
      </c>
      <c r="F480" s="1">
        <v>5</v>
      </c>
      <c r="G480" s="1">
        <v>1</v>
      </c>
      <c r="H480" s="1">
        <v>0.06</v>
      </c>
      <c r="I480" s="1" t="str">
        <f>IF(Table1[[#This Row],[weekday]]&gt;=6,"weekend","weekday")</f>
        <v>weekday</v>
      </c>
      <c r="J480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480" s="1" t="str">
        <f>IF(Table1[[#This Row],[hr]]&lt;12,"Morning",IF(Table1[[#This Row],[hr]]&lt;17,"Afternoon",IF(Table1[[#This Row],[hr]]&lt;21,"Evening","Night")))</f>
        <v>Night</v>
      </c>
    </row>
    <row r="481" spans="1:11" x14ac:dyDescent="0.2">
      <c r="A481" s="1">
        <v>480</v>
      </c>
      <c r="B481" s="3">
        <v>40565</v>
      </c>
      <c r="C481" s="1">
        <v>1</v>
      </c>
      <c r="D481" s="1">
        <v>0</v>
      </c>
      <c r="E481" s="1" t="b">
        <v>0</v>
      </c>
      <c r="F481" s="1">
        <v>6</v>
      </c>
      <c r="G481" s="1">
        <v>1</v>
      </c>
      <c r="H481" s="1">
        <v>0.04</v>
      </c>
      <c r="I481" s="1" t="str">
        <f>IF(Table1[[#This Row],[weekday]]&gt;=6,"weekend","weekday")</f>
        <v>weekend</v>
      </c>
      <c r="J481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481" s="1" t="str">
        <f>IF(Table1[[#This Row],[hr]]&lt;12,"Morning",IF(Table1[[#This Row],[hr]]&lt;17,"Afternoon",IF(Table1[[#This Row],[hr]]&lt;21,"Evening","Night")))</f>
        <v>Morning</v>
      </c>
    </row>
    <row r="482" spans="1:11" x14ac:dyDescent="0.2">
      <c r="A482" s="1">
        <v>481</v>
      </c>
      <c r="B482" s="3">
        <v>40565</v>
      </c>
      <c r="C482" s="1">
        <v>1</v>
      </c>
      <c r="D482" s="1">
        <v>1</v>
      </c>
      <c r="E482" s="1" t="b">
        <v>0</v>
      </c>
      <c r="F482" s="1">
        <v>6</v>
      </c>
      <c r="G482" s="1">
        <v>2</v>
      </c>
      <c r="H482" s="1">
        <v>0.04</v>
      </c>
      <c r="I482" s="1" t="str">
        <f>IF(Table1[[#This Row],[weekday]]&gt;=6,"weekend","weekday")</f>
        <v>weekend</v>
      </c>
      <c r="J482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482" s="1" t="str">
        <f>IF(Table1[[#This Row],[hr]]&lt;12,"Morning",IF(Table1[[#This Row],[hr]]&lt;17,"Afternoon",IF(Table1[[#This Row],[hr]]&lt;21,"Evening","Night")))</f>
        <v>Morning</v>
      </c>
    </row>
    <row r="483" spans="1:11" x14ac:dyDescent="0.2">
      <c r="A483" s="1">
        <v>482</v>
      </c>
      <c r="B483" s="3">
        <v>40565</v>
      </c>
      <c r="C483" s="1">
        <v>1</v>
      </c>
      <c r="D483" s="1">
        <v>2</v>
      </c>
      <c r="E483" s="1" t="b">
        <v>0</v>
      </c>
      <c r="F483" s="1">
        <v>6</v>
      </c>
      <c r="G483" s="1">
        <v>2</v>
      </c>
      <c r="H483" s="1">
        <v>0.04</v>
      </c>
      <c r="I483" s="1" t="str">
        <f>IF(Table1[[#This Row],[weekday]]&gt;=6,"weekend","weekday")</f>
        <v>weekend</v>
      </c>
      <c r="J483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483" s="1" t="str">
        <f>IF(Table1[[#This Row],[hr]]&lt;12,"Morning",IF(Table1[[#This Row],[hr]]&lt;17,"Afternoon",IF(Table1[[#This Row],[hr]]&lt;21,"Evening","Night")))</f>
        <v>Morning</v>
      </c>
    </row>
    <row r="484" spans="1:11" x14ac:dyDescent="0.2">
      <c r="A484" s="1">
        <v>483</v>
      </c>
      <c r="B484" s="3">
        <v>40565</v>
      </c>
      <c r="C484" s="1">
        <v>1</v>
      </c>
      <c r="D484" s="1">
        <v>3</v>
      </c>
      <c r="E484" s="1" t="b">
        <v>0</v>
      </c>
      <c r="F484" s="1">
        <v>6</v>
      </c>
      <c r="G484" s="1">
        <v>2</v>
      </c>
      <c r="H484" s="1">
        <v>0.04</v>
      </c>
      <c r="I484" s="1" t="str">
        <f>IF(Table1[[#This Row],[weekday]]&gt;=6,"weekend","weekday")</f>
        <v>weekend</v>
      </c>
      <c r="J484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484" s="1" t="str">
        <f>IF(Table1[[#This Row],[hr]]&lt;12,"Morning",IF(Table1[[#This Row],[hr]]&lt;17,"Afternoon",IF(Table1[[#This Row],[hr]]&lt;21,"Evening","Night")))</f>
        <v>Morning</v>
      </c>
    </row>
    <row r="485" spans="1:11" x14ac:dyDescent="0.2">
      <c r="A485" s="1">
        <v>484</v>
      </c>
      <c r="B485" s="3">
        <v>40565</v>
      </c>
      <c r="C485" s="1">
        <v>1</v>
      </c>
      <c r="D485" s="1">
        <v>4</v>
      </c>
      <c r="E485" s="1" t="b">
        <v>0</v>
      </c>
      <c r="F485" s="1">
        <v>6</v>
      </c>
      <c r="G485" s="1">
        <v>2</v>
      </c>
      <c r="H485" s="1">
        <v>0.02</v>
      </c>
      <c r="I485" s="1" t="str">
        <f>IF(Table1[[#This Row],[weekday]]&gt;=6,"weekend","weekday")</f>
        <v>weekend</v>
      </c>
      <c r="J485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485" s="1" t="str">
        <f>IF(Table1[[#This Row],[hr]]&lt;12,"Morning",IF(Table1[[#This Row],[hr]]&lt;17,"Afternoon",IF(Table1[[#This Row],[hr]]&lt;21,"Evening","Night")))</f>
        <v>Morning</v>
      </c>
    </row>
    <row r="486" spans="1:11" x14ac:dyDescent="0.2">
      <c r="A486" s="1">
        <v>485</v>
      </c>
      <c r="B486" s="3">
        <v>40565</v>
      </c>
      <c r="C486" s="1">
        <v>1</v>
      </c>
      <c r="D486" s="1">
        <v>6</v>
      </c>
      <c r="E486" s="1" t="b">
        <v>0</v>
      </c>
      <c r="F486" s="1">
        <v>6</v>
      </c>
      <c r="G486" s="1">
        <v>2</v>
      </c>
      <c r="H486" s="1">
        <v>0.02</v>
      </c>
      <c r="I486" s="1" t="str">
        <f>IF(Table1[[#This Row],[weekday]]&gt;=6,"weekend","weekday")</f>
        <v>weekend</v>
      </c>
      <c r="J486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486" s="1" t="str">
        <f>IF(Table1[[#This Row],[hr]]&lt;12,"Morning",IF(Table1[[#This Row],[hr]]&lt;17,"Afternoon",IF(Table1[[#This Row],[hr]]&lt;21,"Evening","Night")))</f>
        <v>Morning</v>
      </c>
    </row>
    <row r="487" spans="1:11" x14ac:dyDescent="0.2">
      <c r="A487" s="1">
        <v>486</v>
      </c>
      <c r="B487" s="3">
        <v>40565</v>
      </c>
      <c r="C487" s="1">
        <v>1</v>
      </c>
      <c r="D487" s="1">
        <v>7</v>
      </c>
      <c r="E487" s="1" t="b">
        <v>0</v>
      </c>
      <c r="F487" s="1">
        <v>6</v>
      </c>
      <c r="G487" s="1">
        <v>1</v>
      </c>
      <c r="H487" s="1">
        <v>0.02</v>
      </c>
      <c r="I487" s="1" t="str">
        <f>IF(Table1[[#This Row],[weekday]]&gt;=6,"weekend","weekday")</f>
        <v>weekend</v>
      </c>
      <c r="J487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487" s="1" t="str">
        <f>IF(Table1[[#This Row],[hr]]&lt;12,"Morning",IF(Table1[[#This Row],[hr]]&lt;17,"Afternoon",IF(Table1[[#This Row],[hr]]&lt;21,"Evening","Night")))</f>
        <v>Morning</v>
      </c>
    </row>
    <row r="488" spans="1:11" x14ac:dyDescent="0.2">
      <c r="A488" s="1">
        <v>487</v>
      </c>
      <c r="B488" s="3">
        <v>40565</v>
      </c>
      <c r="C488" s="1">
        <v>1</v>
      </c>
      <c r="D488" s="1">
        <v>8</v>
      </c>
      <c r="E488" s="1" t="b">
        <v>0</v>
      </c>
      <c r="F488" s="1">
        <v>6</v>
      </c>
      <c r="G488" s="1">
        <v>1</v>
      </c>
      <c r="H488" s="1">
        <v>0.02</v>
      </c>
      <c r="I488" s="1" t="str">
        <f>IF(Table1[[#This Row],[weekday]]&gt;=6,"weekend","weekday")</f>
        <v>weekend</v>
      </c>
      <c r="J488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488" s="1" t="str">
        <f>IF(Table1[[#This Row],[hr]]&lt;12,"Morning",IF(Table1[[#This Row],[hr]]&lt;17,"Afternoon",IF(Table1[[#This Row],[hr]]&lt;21,"Evening","Night")))</f>
        <v>Morning</v>
      </c>
    </row>
    <row r="489" spans="1:11" x14ac:dyDescent="0.2">
      <c r="A489" s="1">
        <v>488</v>
      </c>
      <c r="B489" s="3">
        <v>40565</v>
      </c>
      <c r="C489" s="1">
        <v>1</v>
      </c>
      <c r="D489" s="1">
        <v>9</v>
      </c>
      <c r="E489" s="1" t="b">
        <v>0</v>
      </c>
      <c r="F489" s="1">
        <v>6</v>
      </c>
      <c r="G489" s="1">
        <v>1</v>
      </c>
      <c r="H489" s="1">
        <v>0.04</v>
      </c>
      <c r="I489" s="1" t="str">
        <f>IF(Table1[[#This Row],[weekday]]&gt;=6,"weekend","weekday")</f>
        <v>weekend</v>
      </c>
      <c r="J489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489" s="1" t="str">
        <f>IF(Table1[[#This Row],[hr]]&lt;12,"Morning",IF(Table1[[#This Row],[hr]]&lt;17,"Afternoon",IF(Table1[[#This Row],[hr]]&lt;21,"Evening","Night")))</f>
        <v>Morning</v>
      </c>
    </row>
    <row r="490" spans="1:11" x14ac:dyDescent="0.2">
      <c r="A490" s="1">
        <v>489</v>
      </c>
      <c r="B490" s="3">
        <v>40565</v>
      </c>
      <c r="C490" s="1">
        <v>1</v>
      </c>
      <c r="D490" s="1">
        <v>10</v>
      </c>
      <c r="E490" s="1" t="b">
        <v>0</v>
      </c>
      <c r="F490" s="1">
        <v>6</v>
      </c>
      <c r="G490" s="1">
        <v>2</v>
      </c>
      <c r="H490" s="1">
        <v>0.04</v>
      </c>
      <c r="I490" s="1" t="str">
        <f>IF(Table1[[#This Row],[weekday]]&gt;=6,"weekend","weekday")</f>
        <v>weekend</v>
      </c>
      <c r="J490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490" s="1" t="str">
        <f>IF(Table1[[#This Row],[hr]]&lt;12,"Morning",IF(Table1[[#This Row],[hr]]&lt;17,"Afternoon",IF(Table1[[#This Row],[hr]]&lt;21,"Evening","Night")))</f>
        <v>Morning</v>
      </c>
    </row>
    <row r="491" spans="1:11" x14ac:dyDescent="0.2">
      <c r="A491" s="1">
        <v>490</v>
      </c>
      <c r="B491" s="3">
        <v>40565</v>
      </c>
      <c r="C491" s="1">
        <v>1</v>
      </c>
      <c r="D491" s="1">
        <v>11</v>
      </c>
      <c r="E491" s="1" t="b">
        <v>0</v>
      </c>
      <c r="F491" s="1">
        <v>6</v>
      </c>
      <c r="G491" s="1">
        <v>2</v>
      </c>
      <c r="H491" s="1">
        <v>0.06</v>
      </c>
      <c r="I491" s="1" t="str">
        <f>IF(Table1[[#This Row],[weekday]]&gt;=6,"weekend","weekday")</f>
        <v>weekend</v>
      </c>
      <c r="J491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491" s="1" t="str">
        <f>IF(Table1[[#This Row],[hr]]&lt;12,"Morning",IF(Table1[[#This Row],[hr]]&lt;17,"Afternoon",IF(Table1[[#This Row],[hr]]&lt;21,"Evening","Night")))</f>
        <v>Morning</v>
      </c>
    </row>
    <row r="492" spans="1:11" x14ac:dyDescent="0.2">
      <c r="A492" s="1">
        <v>491</v>
      </c>
      <c r="B492" s="3">
        <v>40565</v>
      </c>
      <c r="C492" s="1">
        <v>1</v>
      </c>
      <c r="D492" s="1">
        <v>12</v>
      </c>
      <c r="E492" s="1" t="b">
        <v>0</v>
      </c>
      <c r="F492" s="1">
        <v>6</v>
      </c>
      <c r="G492" s="1">
        <v>2</v>
      </c>
      <c r="H492" s="1">
        <v>0.06</v>
      </c>
      <c r="I492" s="1" t="str">
        <f>IF(Table1[[#This Row],[weekday]]&gt;=6,"weekend","weekday")</f>
        <v>weekend</v>
      </c>
      <c r="J492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492" s="1" t="str">
        <f>IF(Table1[[#This Row],[hr]]&lt;12,"Morning",IF(Table1[[#This Row],[hr]]&lt;17,"Afternoon",IF(Table1[[#This Row],[hr]]&lt;21,"Evening","Night")))</f>
        <v>Afternoon</v>
      </c>
    </row>
    <row r="493" spans="1:11" x14ac:dyDescent="0.2">
      <c r="A493" s="1">
        <v>492</v>
      </c>
      <c r="B493" s="3">
        <v>40565</v>
      </c>
      <c r="C493" s="1">
        <v>1</v>
      </c>
      <c r="D493" s="1">
        <v>13</v>
      </c>
      <c r="E493" s="1" t="b">
        <v>0</v>
      </c>
      <c r="F493" s="1">
        <v>6</v>
      </c>
      <c r="G493" s="1">
        <v>1</v>
      </c>
      <c r="H493" s="1">
        <v>0.08</v>
      </c>
      <c r="I493" s="1" t="str">
        <f>IF(Table1[[#This Row],[weekday]]&gt;=6,"weekend","weekday")</f>
        <v>weekend</v>
      </c>
      <c r="J493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493" s="1" t="str">
        <f>IF(Table1[[#This Row],[hr]]&lt;12,"Morning",IF(Table1[[#This Row],[hr]]&lt;17,"Afternoon",IF(Table1[[#This Row],[hr]]&lt;21,"Evening","Night")))</f>
        <v>Afternoon</v>
      </c>
    </row>
    <row r="494" spans="1:11" x14ac:dyDescent="0.2">
      <c r="A494" s="1">
        <v>493</v>
      </c>
      <c r="B494" s="3">
        <v>40565</v>
      </c>
      <c r="C494" s="1">
        <v>1</v>
      </c>
      <c r="D494" s="1">
        <v>14</v>
      </c>
      <c r="E494" s="1" t="b">
        <v>0</v>
      </c>
      <c r="F494" s="1">
        <v>6</v>
      </c>
      <c r="G494" s="1">
        <v>1</v>
      </c>
      <c r="H494" s="1">
        <v>0.1</v>
      </c>
      <c r="I494" s="1" t="str">
        <f>IF(Table1[[#This Row],[weekday]]&gt;=6,"weekend","weekday")</f>
        <v>weekend</v>
      </c>
      <c r="J494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494" s="1" t="str">
        <f>IF(Table1[[#This Row],[hr]]&lt;12,"Morning",IF(Table1[[#This Row],[hr]]&lt;17,"Afternoon",IF(Table1[[#This Row],[hr]]&lt;21,"Evening","Night")))</f>
        <v>Afternoon</v>
      </c>
    </row>
    <row r="495" spans="1:11" x14ac:dyDescent="0.2">
      <c r="A495" s="1">
        <v>494</v>
      </c>
      <c r="B495" s="3">
        <v>40565</v>
      </c>
      <c r="C495" s="1">
        <v>1</v>
      </c>
      <c r="D495" s="1">
        <v>15</v>
      </c>
      <c r="E495" s="1" t="b">
        <v>0</v>
      </c>
      <c r="F495" s="1">
        <v>6</v>
      </c>
      <c r="G495" s="1">
        <v>1</v>
      </c>
      <c r="H495" s="1">
        <v>0.12</v>
      </c>
      <c r="I495" s="1" t="str">
        <f>IF(Table1[[#This Row],[weekday]]&gt;=6,"weekend","weekday")</f>
        <v>weekend</v>
      </c>
      <c r="J495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495" s="1" t="str">
        <f>IF(Table1[[#This Row],[hr]]&lt;12,"Morning",IF(Table1[[#This Row],[hr]]&lt;17,"Afternoon",IF(Table1[[#This Row],[hr]]&lt;21,"Evening","Night")))</f>
        <v>Afternoon</v>
      </c>
    </row>
    <row r="496" spans="1:11" x14ac:dyDescent="0.2">
      <c r="A496" s="1">
        <v>495</v>
      </c>
      <c r="B496" s="3">
        <v>40565</v>
      </c>
      <c r="C496" s="1">
        <v>1</v>
      </c>
      <c r="D496" s="1">
        <v>16</v>
      </c>
      <c r="E496" s="1" t="b">
        <v>0</v>
      </c>
      <c r="F496" s="1">
        <v>6</v>
      </c>
      <c r="G496" s="1">
        <v>1</v>
      </c>
      <c r="H496" s="1">
        <v>0.12</v>
      </c>
      <c r="I496" s="1" t="str">
        <f>IF(Table1[[#This Row],[weekday]]&gt;=6,"weekend","weekday")</f>
        <v>weekend</v>
      </c>
      <c r="J496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496" s="1" t="str">
        <f>IF(Table1[[#This Row],[hr]]&lt;12,"Morning",IF(Table1[[#This Row],[hr]]&lt;17,"Afternoon",IF(Table1[[#This Row],[hr]]&lt;21,"Evening","Night")))</f>
        <v>Afternoon</v>
      </c>
    </row>
    <row r="497" spans="1:11" x14ac:dyDescent="0.2">
      <c r="A497" s="1">
        <v>496</v>
      </c>
      <c r="B497" s="3">
        <v>40565</v>
      </c>
      <c r="C497" s="1">
        <v>1</v>
      </c>
      <c r="D497" s="1">
        <v>17</v>
      </c>
      <c r="E497" s="1" t="b">
        <v>0</v>
      </c>
      <c r="F497" s="1">
        <v>6</v>
      </c>
      <c r="G497" s="1">
        <v>1</v>
      </c>
      <c r="H497" s="1">
        <v>0.12</v>
      </c>
      <c r="I497" s="1" t="str">
        <f>IF(Table1[[#This Row],[weekday]]&gt;=6,"weekend","weekday")</f>
        <v>weekend</v>
      </c>
      <c r="J497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497" s="1" t="str">
        <f>IF(Table1[[#This Row],[hr]]&lt;12,"Morning",IF(Table1[[#This Row],[hr]]&lt;17,"Afternoon",IF(Table1[[#This Row],[hr]]&lt;21,"Evening","Night")))</f>
        <v>Evening</v>
      </c>
    </row>
    <row r="498" spans="1:11" x14ac:dyDescent="0.2">
      <c r="A498" s="1">
        <v>497</v>
      </c>
      <c r="B498" s="3">
        <v>40565</v>
      </c>
      <c r="C498" s="1">
        <v>1</v>
      </c>
      <c r="D498" s="1">
        <v>18</v>
      </c>
      <c r="E498" s="1" t="b">
        <v>0</v>
      </c>
      <c r="F498" s="1">
        <v>6</v>
      </c>
      <c r="G498" s="1">
        <v>1</v>
      </c>
      <c r="H498" s="1">
        <v>0.08</v>
      </c>
      <c r="I498" s="1" t="str">
        <f>IF(Table1[[#This Row],[weekday]]&gt;=6,"weekend","weekday")</f>
        <v>weekend</v>
      </c>
      <c r="J498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498" s="1" t="str">
        <f>IF(Table1[[#This Row],[hr]]&lt;12,"Morning",IF(Table1[[#This Row],[hr]]&lt;17,"Afternoon",IF(Table1[[#This Row],[hr]]&lt;21,"Evening","Night")))</f>
        <v>Evening</v>
      </c>
    </row>
    <row r="499" spans="1:11" x14ac:dyDescent="0.2">
      <c r="A499" s="1">
        <v>498</v>
      </c>
      <c r="B499" s="3">
        <v>40565</v>
      </c>
      <c r="C499" s="1">
        <v>1</v>
      </c>
      <c r="D499" s="1">
        <v>19</v>
      </c>
      <c r="E499" s="1" t="b">
        <v>0</v>
      </c>
      <c r="F499" s="1">
        <v>6</v>
      </c>
      <c r="G499" s="1">
        <v>1</v>
      </c>
      <c r="H499" s="1">
        <v>0.08</v>
      </c>
      <c r="I499" s="1" t="str">
        <f>IF(Table1[[#This Row],[weekday]]&gt;=6,"weekend","weekday")</f>
        <v>weekend</v>
      </c>
      <c r="J499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499" s="1" t="str">
        <f>IF(Table1[[#This Row],[hr]]&lt;12,"Morning",IF(Table1[[#This Row],[hr]]&lt;17,"Afternoon",IF(Table1[[#This Row],[hr]]&lt;21,"Evening","Night")))</f>
        <v>Evening</v>
      </c>
    </row>
    <row r="500" spans="1:11" x14ac:dyDescent="0.2">
      <c r="A500" s="1">
        <v>499</v>
      </c>
      <c r="B500" s="3">
        <v>40565</v>
      </c>
      <c r="C500" s="1">
        <v>1</v>
      </c>
      <c r="D500" s="1">
        <v>20</v>
      </c>
      <c r="E500" s="1" t="b">
        <v>0</v>
      </c>
      <c r="F500" s="1">
        <v>6</v>
      </c>
      <c r="G500" s="1">
        <v>1</v>
      </c>
      <c r="H500" s="1">
        <v>0.06</v>
      </c>
      <c r="I500" s="1" t="str">
        <f>IF(Table1[[#This Row],[weekday]]&gt;=6,"weekend","weekday")</f>
        <v>weekend</v>
      </c>
      <c r="J500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500" s="1" t="str">
        <f>IF(Table1[[#This Row],[hr]]&lt;12,"Morning",IF(Table1[[#This Row],[hr]]&lt;17,"Afternoon",IF(Table1[[#This Row],[hr]]&lt;21,"Evening","Night")))</f>
        <v>Evening</v>
      </c>
    </row>
    <row r="501" spans="1:11" x14ac:dyDescent="0.2">
      <c r="A501" s="1">
        <v>500</v>
      </c>
      <c r="B501" s="3">
        <v>40565</v>
      </c>
      <c r="C501" s="1">
        <v>1</v>
      </c>
      <c r="D501" s="1">
        <v>21</v>
      </c>
      <c r="E501" s="1" t="b">
        <v>0</v>
      </c>
      <c r="F501" s="1">
        <v>6</v>
      </c>
      <c r="G501" s="1">
        <v>1</v>
      </c>
      <c r="H501" s="1">
        <v>0.06</v>
      </c>
      <c r="I501" s="1" t="str">
        <f>IF(Table1[[#This Row],[weekday]]&gt;=6,"weekend","weekday")</f>
        <v>weekend</v>
      </c>
      <c r="J501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501" s="1" t="str">
        <f>IF(Table1[[#This Row],[hr]]&lt;12,"Morning",IF(Table1[[#This Row],[hr]]&lt;17,"Afternoon",IF(Table1[[#This Row],[hr]]&lt;21,"Evening","Night")))</f>
        <v>Night</v>
      </c>
    </row>
    <row r="502" spans="1:11" x14ac:dyDescent="0.2">
      <c r="A502" s="1">
        <v>501</v>
      </c>
      <c r="B502" s="3">
        <v>40565</v>
      </c>
      <c r="C502" s="1">
        <v>1</v>
      </c>
      <c r="D502" s="1">
        <v>22</v>
      </c>
      <c r="E502" s="1" t="b">
        <v>0</v>
      </c>
      <c r="F502" s="1">
        <v>6</v>
      </c>
      <c r="G502" s="1">
        <v>1</v>
      </c>
      <c r="H502" s="1">
        <v>0.06</v>
      </c>
      <c r="I502" s="1" t="str">
        <f>IF(Table1[[#This Row],[weekday]]&gt;=6,"weekend","weekday")</f>
        <v>weekend</v>
      </c>
      <c r="J502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502" s="1" t="str">
        <f>IF(Table1[[#This Row],[hr]]&lt;12,"Morning",IF(Table1[[#This Row],[hr]]&lt;17,"Afternoon",IF(Table1[[#This Row],[hr]]&lt;21,"Evening","Night")))</f>
        <v>Night</v>
      </c>
    </row>
    <row r="503" spans="1:11" x14ac:dyDescent="0.2">
      <c r="A503" s="1">
        <v>502</v>
      </c>
      <c r="B503" s="3">
        <v>40565</v>
      </c>
      <c r="C503" s="1">
        <v>1</v>
      </c>
      <c r="D503" s="1">
        <v>23</v>
      </c>
      <c r="E503" s="1" t="b">
        <v>0</v>
      </c>
      <c r="F503" s="1">
        <v>6</v>
      </c>
      <c r="G503" s="1">
        <v>1</v>
      </c>
      <c r="H503" s="1">
        <v>0.04</v>
      </c>
      <c r="I503" s="1" t="str">
        <f>IF(Table1[[#This Row],[weekday]]&gt;=6,"weekend","weekday")</f>
        <v>weekend</v>
      </c>
      <c r="J503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503" s="1" t="str">
        <f>IF(Table1[[#This Row],[hr]]&lt;12,"Morning",IF(Table1[[#This Row],[hr]]&lt;17,"Afternoon",IF(Table1[[#This Row],[hr]]&lt;21,"Evening","Night")))</f>
        <v>Night</v>
      </c>
    </row>
    <row r="504" spans="1:11" x14ac:dyDescent="0.2">
      <c r="A504" s="1">
        <v>503</v>
      </c>
      <c r="B504" s="3">
        <v>40566</v>
      </c>
      <c r="C504" s="1">
        <v>1</v>
      </c>
      <c r="D504" s="1">
        <v>0</v>
      </c>
      <c r="E504" s="1" t="b">
        <v>0</v>
      </c>
      <c r="F504" s="1">
        <v>0</v>
      </c>
      <c r="G504" s="1">
        <v>1</v>
      </c>
      <c r="H504" s="1">
        <v>0.04</v>
      </c>
      <c r="I504" s="1" t="str">
        <f>IF(Table1[[#This Row],[weekday]]&gt;=6,"weekend","weekday")</f>
        <v>weekday</v>
      </c>
      <c r="J504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504" s="1" t="str">
        <f>IF(Table1[[#This Row],[hr]]&lt;12,"Morning",IF(Table1[[#This Row],[hr]]&lt;17,"Afternoon",IF(Table1[[#This Row],[hr]]&lt;21,"Evening","Night")))</f>
        <v>Morning</v>
      </c>
    </row>
    <row r="505" spans="1:11" x14ac:dyDescent="0.2">
      <c r="A505" s="1">
        <v>504</v>
      </c>
      <c r="B505" s="3">
        <v>40566</v>
      </c>
      <c r="C505" s="1">
        <v>1</v>
      </c>
      <c r="D505" s="1">
        <v>1</v>
      </c>
      <c r="E505" s="1" t="b">
        <v>0</v>
      </c>
      <c r="F505" s="1">
        <v>0</v>
      </c>
      <c r="G505" s="1">
        <v>1</v>
      </c>
      <c r="H505" s="1">
        <v>0.04</v>
      </c>
      <c r="I505" s="1" t="str">
        <f>IF(Table1[[#This Row],[weekday]]&gt;=6,"weekend","weekday")</f>
        <v>weekday</v>
      </c>
      <c r="J505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505" s="1" t="str">
        <f>IF(Table1[[#This Row],[hr]]&lt;12,"Morning",IF(Table1[[#This Row],[hr]]&lt;17,"Afternoon",IF(Table1[[#This Row],[hr]]&lt;21,"Evening","Night")))</f>
        <v>Morning</v>
      </c>
    </row>
    <row r="506" spans="1:11" x14ac:dyDescent="0.2">
      <c r="A506" s="1">
        <v>505</v>
      </c>
      <c r="B506" s="3">
        <v>40566</v>
      </c>
      <c r="C506" s="1">
        <v>1</v>
      </c>
      <c r="D506" s="1">
        <v>2</v>
      </c>
      <c r="E506" s="1" t="b">
        <v>0</v>
      </c>
      <c r="F506" s="1">
        <v>0</v>
      </c>
      <c r="G506" s="1">
        <v>1</v>
      </c>
      <c r="H506" s="1">
        <v>0.02</v>
      </c>
      <c r="I506" s="1" t="str">
        <f>IF(Table1[[#This Row],[weekday]]&gt;=6,"weekend","weekday")</f>
        <v>weekday</v>
      </c>
      <c r="J506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506" s="1" t="str">
        <f>IF(Table1[[#This Row],[hr]]&lt;12,"Morning",IF(Table1[[#This Row],[hr]]&lt;17,"Afternoon",IF(Table1[[#This Row],[hr]]&lt;21,"Evening","Night")))</f>
        <v>Morning</v>
      </c>
    </row>
    <row r="507" spans="1:11" x14ac:dyDescent="0.2">
      <c r="A507" s="1">
        <v>506</v>
      </c>
      <c r="B507" s="3">
        <v>40566</v>
      </c>
      <c r="C507" s="1">
        <v>1</v>
      </c>
      <c r="D507" s="1">
        <v>3</v>
      </c>
      <c r="E507" s="1" t="b">
        <v>0</v>
      </c>
      <c r="F507" s="1">
        <v>0</v>
      </c>
      <c r="G507" s="1">
        <v>1</v>
      </c>
      <c r="H507" s="1">
        <v>0.02</v>
      </c>
      <c r="I507" s="1" t="str">
        <f>IF(Table1[[#This Row],[weekday]]&gt;=6,"weekend","weekday")</f>
        <v>weekday</v>
      </c>
      <c r="J507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507" s="1" t="str">
        <f>IF(Table1[[#This Row],[hr]]&lt;12,"Morning",IF(Table1[[#This Row],[hr]]&lt;17,"Afternoon",IF(Table1[[#This Row],[hr]]&lt;21,"Evening","Night")))</f>
        <v>Morning</v>
      </c>
    </row>
    <row r="508" spans="1:11" x14ac:dyDescent="0.2">
      <c r="A508" s="1">
        <v>507</v>
      </c>
      <c r="B508" s="3">
        <v>40566</v>
      </c>
      <c r="C508" s="1">
        <v>1</v>
      </c>
      <c r="D508" s="1">
        <v>5</v>
      </c>
      <c r="E508" s="1" t="b">
        <v>0</v>
      </c>
      <c r="F508" s="1">
        <v>0</v>
      </c>
      <c r="G508" s="1">
        <v>2</v>
      </c>
      <c r="H508" s="1">
        <v>0.04</v>
      </c>
      <c r="I508" s="1" t="str">
        <f>IF(Table1[[#This Row],[weekday]]&gt;=6,"weekend","weekday")</f>
        <v>weekday</v>
      </c>
      <c r="J508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508" s="1" t="str">
        <f>IF(Table1[[#This Row],[hr]]&lt;12,"Morning",IF(Table1[[#This Row],[hr]]&lt;17,"Afternoon",IF(Table1[[#This Row],[hr]]&lt;21,"Evening","Night")))</f>
        <v>Morning</v>
      </c>
    </row>
    <row r="509" spans="1:11" x14ac:dyDescent="0.2">
      <c r="A509" s="1">
        <v>508</v>
      </c>
      <c r="B509" s="3">
        <v>40566</v>
      </c>
      <c r="C509" s="1">
        <v>1</v>
      </c>
      <c r="D509" s="1">
        <v>6</v>
      </c>
      <c r="E509" s="1" t="b">
        <v>0</v>
      </c>
      <c r="F509" s="1">
        <v>0</v>
      </c>
      <c r="G509" s="1">
        <v>2</v>
      </c>
      <c r="H509" s="1">
        <v>0.04</v>
      </c>
      <c r="I509" s="1" t="str">
        <f>IF(Table1[[#This Row],[weekday]]&gt;=6,"weekend","weekday")</f>
        <v>weekday</v>
      </c>
      <c r="J509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509" s="1" t="str">
        <f>IF(Table1[[#This Row],[hr]]&lt;12,"Morning",IF(Table1[[#This Row],[hr]]&lt;17,"Afternoon",IF(Table1[[#This Row],[hr]]&lt;21,"Evening","Night")))</f>
        <v>Morning</v>
      </c>
    </row>
    <row r="510" spans="1:11" x14ac:dyDescent="0.2">
      <c r="A510" s="1">
        <v>509</v>
      </c>
      <c r="B510" s="3">
        <v>40566</v>
      </c>
      <c r="C510" s="1">
        <v>1</v>
      </c>
      <c r="D510" s="1">
        <v>7</v>
      </c>
      <c r="E510" s="1" t="b">
        <v>0</v>
      </c>
      <c r="F510" s="1">
        <v>0</v>
      </c>
      <c r="G510" s="1">
        <v>1</v>
      </c>
      <c r="H510" s="1">
        <v>0.08</v>
      </c>
      <c r="I510" s="1" t="str">
        <f>IF(Table1[[#This Row],[weekday]]&gt;=6,"weekend","weekday")</f>
        <v>weekday</v>
      </c>
      <c r="J510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510" s="1" t="str">
        <f>IF(Table1[[#This Row],[hr]]&lt;12,"Morning",IF(Table1[[#This Row],[hr]]&lt;17,"Afternoon",IF(Table1[[#This Row],[hr]]&lt;21,"Evening","Night")))</f>
        <v>Morning</v>
      </c>
    </row>
    <row r="511" spans="1:11" x14ac:dyDescent="0.2">
      <c r="A511" s="1">
        <v>510</v>
      </c>
      <c r="B511" s="3">
        <v>40566</v>
      </c>
      <c r="C511" s="1">
        <v>1</v>
      </c>
      <c r="D511" s="1">
        <v>8</v>
      </c>
      <c r="E511" s="1" t="b">
        <v>0</v>
      </c>
      <c r="F511" s="1">
        <v>0</v>
      </c>
      <c r="G511" s="1">
        <v>1</v>
      </c>
      <c r="H511" s="1">
        <v>0.06</v>
      </c>
      <c r="I511" s="1" t="str">
        <f>IF(Table1[[#This Row],[weekday]]&gt;=6,"weekend","weekday")</f>
        <v>weekday</v>
      </c>
      <c r="J511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511" s="1" t="str">
        <f>IF(Table1[[#This Row],[hr]]&lt;12,"Morning",IF(Table1[[#This Row],[hr]]&lt;17,"Afternoon",IF(Table1[[#This Row],[hr]]&lt;21,"Evening","Night")))</f>
        <v>Morning</v>
      </c>
    </row>
    <row r="512" spans="1:11" x14ac:dyDescent="0.2">
      <c r="A512" s="1">
        <v>511</v>
      </c>
      <c r="B512" s="3">
        <v>40566</v>
      </c>
      <c r="C512" s="1">
        <v>1</v>
      </c>
      <c r="D512" s="1">
        <v>9</v>
      </c>
      <c r="E512" s="1" t="b">
        <v>0</v>
      </c>
      <c r="F512" s="1">
        <v>0</v>
      </c>
      <c r="G512" s="1">
        <v>1</v>
      </c>
      <c r="H512" s="1">
        <v>0.1</v>
      </c>
      <c r="I512" s="1" t="str">
        <f>IF(Table1[[#This Row],[weekday]]&gt;=6,"weekend","weekday")</f>
        <v>weekday</v>
      </c>
      <c r="J512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512" s="1" t="str">
        <f>IF(Table1[[#This Row],[hr]]&lt;12,"Morning",IF(Table1[[#This Row],[hr]]&lt;17,"Afternoon",IF(Table1[[#This Row],[hr]]&lt;21,"Evening","Night")))</f>
        <v>Morning</v>
      </c>
    </row>
    <row r="513" spans="1:11" x14ac:dyDescent="0.2">
      <c r="A513" s="1">
        <v>512</v>
      </c>
      <c r="B513" s="3">
        <v>40566</v>
      </c>
      <c r="C513" s="1">
        <v>1</v>
      </c>
      <c r="D513" s="1">
        <v>10</v>
      </c>
      <c r="E513" s="1" t="b">
        <v>0</v>
      </c>
      <c r="F513" s="1">
        <v>0</v>
      </c>
      <c r="G513" s="1">
        <v>1</v>
      </c>
      <c r="H513" s="1">
        <v>0.14000000000000001</v>
      </c>
      <c r="I513" s="1" t="str">
        <f>IF(Table1[[#This Row],[weekday]]&gt;=6,"weekend","weekday")</f>
        <v>weekday</v>
      </c>
      <c r="J513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513" s="1" t="str">
        <f>IF(Table1[[#This Row],[hr]]&lt;12,"Morning",IF(Table1[[#This Row],[hr]]&lt;17,"Afternoon",IF(Table1[[#This Row],[hr]]&lt;21,"Evening","Night")))</f>
        <v>Morning</v>
      </c>
    </row>
    <row r="514" spans="1:11" x14ac:dyDescent="0.2">
      <c r="A514" s="1">
        <v>513</v>
      </c>
      <c r="B514" s="3">
        <v>40566</v>
      </c>
      <c r="C514" s="1">
        <v>1</v>
      </c>
      <c r="D514" s="1">
        <v>11</v>
      </c>
      <c r="E514" s="1" t="b">
        <v>0</v>
      </c>
      <c r="F514" s="1">
        <v>0</v>
      </c>
      <c r="G514" s="1">
        <v>1</v>
      </c>
      <c r="H514" s="1">
        <v>0.14000000000000001</v>
      </c>
      <c r="I514" s="1" t="str">
        <f>IF(Table1[[#This Row],[weekday]]&gt;=6,"weekend","weekday")</f>
        <v>weekday</v>
      </c>
      <c r="J514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514" s="1" t="str">
        <f>IF(Table1[[#This Row],[hr]]&lt;12,"Morning",IF(Table1[[#This Row],[hr]]&lt;17,"Afternoon",IF(Table1[[#This Row],[hr]]&lt;21,"Evening","Night")))</f>
        <v>Morning</v>
      </c>
    </row>
    <row r="515" spans="1:11" x14ac:dyDescent="0.2">
      <c r="A515" s="1">
        <v>514</v>
      </c>
      <c r="B515" s="3">
        <v>40566</v>
      </c>
      <c r="C515" s="1">
        <v>1</v>
      </c>
      <c r="D515" s="1">
        <v>12</v>
      </c>
      <c r="E515" s="1" t="b">
        <v>0</v>
      </c>
      <c r="F515" s="1">
        <v>0</v>
      </c>
      <c r="G515" s="1">
        <v>1</v>
      </c>
      <c r="H515" s="1">
        <v>0.16</v>
      </c>
      <c r="I515" s="1" t="str">
        <f>IF(Table1[[#This Row],[weekday]]&gt;=6,"weekend","weekday")</f>
        <v>weekday</v>
      </c>
      <c r="J515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515" s="1" t="str">
        <f>IF(Table1[[#This Row],[hr]]&lt;12,"Morning",IF(Table1[[#This Row],[hr]]&lt;17,"Afternoon",IF(Table1[[#This Row],[hr]]&lt;21,"Evening","Night")))</f>
        <v>Afternoon</v>
      </c>
    </row>
    <row r="516" spans="1:11" x14ac:dyDescent="0.2">
      <c r="A516" s="1">
        <v>515</v>
      </c>
      <c r="B516" s="3">
        <v>40566</v>
      </c>
      <c r="C516" s="1">
        <v>1</v>
      </c>
      <c r="D516" s="1">
        <v>13</v>
      </c>
      <c r="E516" s="1" t="b">
        <v>0</v>
      </c>
      <c r="F516" s="1">
        <v>0</v>
      </c>
      <c r="G516" s="1">
        <v>1</v>
      </c>
      <c r="H516" s="1">
        <v>0.14000000000000001</v>
      </c>
      <c r="I516" s="1" t="str">
        <f>IF(Table1[[#This Row],[weekday]]&gt;=6,"weekend","weekday")</f>
        <v>weekday</v>
      </c>
      <c r="J516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516" s="1" t="str">
        <f>IF(Table1[[#This Row],[hr]]&lt;12,"Morning",IF(Table1[[#This Row],[hr]]&lt;17,"Afternoon",IF(Table1[[#This Row],[hr]]&lt;21,"Evening","Night")))</f>
        <v>Afternoon</v>
      </c>
    </row>
    <row r="517" spans="1:11" x14ac:dyDescent="0.2">
      <c r="A517" s="1">
        <v>516</v>
      </c>
      <c r="B517" s="3">
        <v>40566</v>
      </c>
      <c r="C517" s="1">
        <v>1</v>
      </c>
      <c r="D517" s="1">
        <v>14</v>
      </c>
      <c r="E517" s="1" t="b">
        <v>0</v>
      </c>
      <c r="F517" s="1">
        <v>0</v>
      </c>
      <c r="G517" s="1">
        <v>1</v>
      </c>
      <c r="H517" s="1">
        <v>0.16</v>
      </c>
      <c r="I517" s="1" t="str">
        <f>IF(Table1[[#This Row],[weekday]]&gt;=6,"weekend","weekday")</f>
        <v>weekday</v>
      </c>
      <c r="J517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517" s="1" t="str">
        <f>IF(Table1[[#This Row],[hr]]&lt;12,"Morning",IF(Table1[[#This Row],[hr]]&lt;17,"Afternoon",IF(Table1[[#This Row],[hr]]&lt;21,"Evening","Night")))</f>
        <v>Afternoon</v>
      </c>
    </row>
    <row r="518" spans="1:11" x14ac:dyDescent="0.2">
      <c r="A518" s="1">
        <v>517</v>
      </c>
      <c r="B518" s="3">
        <v>40566</v>
      </c>
      <c r="C518" s="1">
        <v>1</v>
      </c>
      <c r="D518" s="1">
        <v>15</v>
      </c>
      <c r="E518" s="1" t="b">
        <v>0</v>
      </c>
      <c r="F518" s="1">
        <v>0</v>
      </c>
      <c r="G518" s="1">
        <v>1</v>
      </c>
      <c r="H518" s="1">
        <v>0.16</v>
      </c>
      <c r="I518" s="1" t="str">
        <f>IF(Table1[[#This Row],[weekday]]&gt;=6,"weekend","weekday")</f>
        <v>weekday</v>
      </c>
      <c r="J518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518" s="1" t="str">
        <f>IF(Table1[[#This Row],[hr]]&lt;12,"Morning",IF(Table1[[#This Row],[hr]]&lt;17,"Afternoon",IF(Table1[[#This Row],[hr]]&lt;21,"Evening","Night")))</f>
        <v>Afternoon</v>
      </c>
    </row>
    <row r="519" spans="1:11" x14ac:dyDescent="0.2">
      <c r="A519" s="1">
        <v>518</v>
      </c>
      <c r="B519" s="3">
        <v>40566</v>
      </c>
      <c r="C519" s="1">
        <v>1</v>
      </c>
      <c r="D519" s="1">
        <v>16</v>
      </c>
      <c r="E519" s="1" t="b">
        <v>0</v>
      </c>
      <c r="F519" s="1">
        <v>0</v>
      </c>
      <c r="G519" s="1">
        <v>1</v>
      </c>
      <c r="H519" s="1">
        <v>0.16</v>
      </c>
      <c r="I519" s="1" t="str">
        <f>IF(Table1[[#This Row],[weekday]]&gt;=6,"weekend","weekday")</f>
        <v>weekday</v>
      </c>
      <c r="J519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519" s="1" t="str">
        <f>IF(Table1[[#This Row],[hr]]&lt;12,"Morning",IF(Table1[[#This Row],[hr]]&lt;17,"Afternoon",IF(Table1[[#This Row],[hr]]&lt;21,"Evening","Night")))</f>
        <v>Afternoon</v>
      </c>
    </row>
    <row r="520" spans="1:11" x14ac:dyDescent="0.2">
      <c r="A520" s="1">
        <v>519</v>
      </c>
      <c r="B520" s="3">
        <v>40566</v>
      </c>
      <c r="C520" s="1">
        <v>1</v>
      </c>
      <c r="D520" s="1">
        <v>17</v>
      </c>
      <c r="E520" s="1" t="b">
        <v>0</v>
      </c>
      <c r="F520" s="1">
        <v>0</v>
      </c>
      <c r="G520" s="1">
        <v>1</v>
      </c>
      <c r="H520" s="1">
        <v>0.14000000000000001</v>
      </c>
      <c r="I520" s="1" t="str">
        <f>IF(Table1[[#This Row],[weekday]]&gt;=6,"weekend","weekday")</f>
        <v>weekday</v>
      </c>
      <c r="J520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520" s="1" t="str">
        <f>IF(Table1[[#This Row],[hr]]&lt;12,"Morning",IF(Table1[[#This Row],[hr]]&lt;17,"Afternoon",IF(Table1[[#This Row],[hr]]&lt;21,"Evening","Night")))</f>
        <v>Evening</v>
      </c>
    </row>
    <row r="521" spans="1:11" x14ac:dyDescent="0.2">
      <c r="A521" s="1">
        <v>520</v>
      </c>
      <c r="B521" s="3">
        <v>40566</v>
      </c>
      <c r="C521" s="1">
        <v>1</v>
      </c>
      <c r="D521" s="1">
        <v>18</v>
      </c>
      <c r="E521" s="1" t="b">
        <v>0</v>
      </c>
      <c r="F521" s="1">
        <v>0</v>
      </c>
      <c r="G521" s="1">
        <v>1</v>
      </c>
      <c r="H521" s="1">
        <v>0.12</v>
      </c>
      <c r="I521" s="1" t="str">
        <f>IF(Table1[[#This Row],[weekday]]&gt;=6,"weekend","weekday")</f>
        <v>weekday</v>
      </c>
      <c r="J521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521" s="1" t="str">
        <f>IF(Table1[[#This Row],[hr]]&lt;12,"Morning",IF(Table1[[#This Row],[hr]]&lt;17,"Afternoon",IF(Table1[[#This Row],[hr]]&lt;21,"Evening","Night")))</f>
        <v>Evening</v>
      </c>
    </row>
    <row r="522" spans="1:11" x14ac:dyDescent="0.2">
      <c r="A522" s="1">
        <v>521</v>
      </c>
      <c r="B522" s="3">
        <v>40566</v>
      </c>
      <c r="C522" s="1">
        <v>1</v>
      </c>
      <c r="D522" s="1">
        <v>19</v>
      </c>
      <c r="E522" s="1" t="b">
        <v>0</v>
      </c>
      <c r="F522" s="1">
        <v>0</v>
      </c>
      <c r="G522" s="1">
        <v>1</v>
      </c>
      <c r="H522" s="1">
        <v>0.12</v>
      </c>
      <c r="I522" s="1" t="str">
        <f>IF(Table1[[#This Row],[weekday]]&gt;=6,"weekend","weekday")</f>
        <v>weekday</v>
      </c>
      <c r="J522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522" s="1" t="str">
        <f>IF(Table1[[#This Row],[hr]]&lt;12,"Morning",IF(Table1[[#This Row],[hr]]&lt;17,"Afternoon",IF(Table1[[#This Row],[hr]]&lt;21,"Evening","Night")))</f>
        <v>Evening</v>
      </c>
    </row>
    <row r="523" spans="1:11" x14ac:dyDescent="0.2">
      <c r="A523" s="1">
        <v>522</v>
      </c>
      <c r="B523" s="3">
        <v>40566</v>
      </c>
      <c r="C523" s="1">
        <v>1</v>
      </c>
      <c r="D523" s="1">
        <v>20</v>
      </c>
      <c r="E523" s="1" t="b">
        <v>0</v>
      </c>
      <c r="F523" s="1">
        <v>0</v>
      </c>
      <c r="G523" s="1">
        <v>1</v>
      </c>
      <c r="H523" s="1">
        <v>0.1</v>
      </c>
      <c r="I523" s="1" t="str">
        <f>IF(Table1[[#This Row],[weekday]]&gt;=6,"weekend","weekday")</f>
        <v>weekday</v>
      </c>
      <c r="J523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523" s="1" t="str">
        <f>IF(Table1[[#This Row],[hr]]&lt;12,"Morning",IF(Table1[[#This Row],[hr]]&lt;17,"Afternoon",IF(Table1[[#This Row],[hr]]&lt;21,"Evening","Night")))</f>
        <v>Evening</v>
      </c>
    </row>
    <row r="524" spans="1:11" x14ac:dyDescent="0.2">
      <c r="A524" s="1">
        <v>523</v>
      </c>
      <c r="B524" s="3">
        <v>40566</v>
      </c>
      <c r="C524" s="1">
        <v>1</v>
      </c>
      <c r="D524" s="1">
        <v>21</v>
      </c>
      <c r="E524" s="1" t="b">
        <v>0</v>
      </c>
      <c r="F524" s="1">
        <v>0</v>
      </c>
      <c r="G524" s="1">
        <v>1</v>
      </c>
      <c r="H524" s="1">
        <v>0.1</v>
      </c>
      <c r="I524" s="1" t="str">
        <f>IF(Table1[[#This Row],[weekday]]&gt;=6,"weekend","weekday")</f>
        <v>weekday</v>
      </c>
      <c r="J524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524" s="1" t="str">
        <f>IF(Table1[[#This Row],[hr]]&lt;12,"Morning",IF(Table1[[#This Row],[hr]]&lt;17,"Afternoon",IF(Table1[[#This Row],[hr]]&lt;21,"Evening","Night")))</f>
        <v>Night</v>
      </c>
    </row>
    <row r="525" spans="1:11" x14ac:dyDescent="0.2">
      <c r="A525" s="1">
        <v>524</v>
      </c>
      <c r="B525" s="3">
        <v>40566</v>
      </c>
      <c r="C525" s="1">
        <v>1</v>
      </c>
      <c r="D525" s="1">
        <v>22</v>
      </c>
      <c r="E525" s="1" t="b">
        <v>0</v>
      </c>
      <c r="F525" s="1">
        <v>0</v>
      </c>
      <c r="G525" s="1">
        <v>1</v>
      </c>
      <c r="H525" s="1">
        <v>0.08</v>
      </c>
      <c r="I525" s="1" t="str">
        <f>IF(Table1[[#This Row],[weekday]]&gt;=6,"weekend","weekday")</f>
        <v>weekday</v>
      </c>
      <c r="J525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525" s="1" t="str">
        <f>IF(Table1[[#This Row],[hr]]&lt;12,"Morning",IF(Table1[[#This Row],[hr]]&lt;17,"Afternoon",IF(Table1[[#This Row],[hr]]&lt;21,"Evening","Night")))</f>
        <v>Night</v>
      </c>
    </row>
    <row r="526" spans="1:11" x14ac:dyDescent="0.2">
      <c r="A526" s="1">
        <v>525</v>
      </c>
      <c r="B526" s="3">
        <v>40566</v>
      </c>
      <c r="C526" s="1">
        <v>1</v>
      </c>
      <c r="D526" s="1">
        <v>23</v>
      </c>
      <c r="E526" s="1" t="b">
        <v>0</v>
      </c>
      <c r="F526" s="1">
        <v>0</v>
      </c>
      <c r="G526" s="1">
        <v>1</v>
      </c>
      <c r="H526" s="1">
        <v>0.06</v>
      </c>
      <c r="I526" s="1" t="str">
        <f>IF(Table1[[#This Row],[weekday]]&gt;=6,"weekend","weekday")</f>
        <v>weekday</v>
      </c>
      <c r="J526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526" s="1" t="str">
        <f>IF(Table1[[#This Row],[hr]]&lt;12,"Morning",IF(Table1[[#This Row],[hr]]&lt;17,"Afternoon",IF(Table1[[#This Row],[hr]]&lt;21,"Evening","Night")))</f>
        <v>Night</v>
      </c>
    </row>
    <row r="527" spans="1:11" x14ac:dyDescent="0.2">
      <c r="A527" s="1">
        <v>526</v>
      </c>
      <c r="B527" s="3">
        <v>40567</v>
      </c>
      <c r="C527" s="1">
        <v>1</v>
      </c>
      <c r="D527" s="1">
        <v>0</v>
      </c>
      <c r="E527" s="1" t="b">
        <v>0</v>
      </c>
      <c r="F527" s="1">
        <v>1</v>
      </c>
      <c r="G527" s="1">
        <v>1</v>
      </c>
      <c r="H527" s="1">
        <v>0.06</v>
      </c>
      <c r="I527" s="1" t="str">
        <f>IF(Table1[[#This Row],[weekday]]&gt;=6,"weekend","weekday")</f>
        <v>weekday</v>
      </c>
      <c r="J527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527" s="1" t="str">
        <f>IF(Table1[[#This Row],[hr]]&lt;12,"Morning",IF(Table1[[#This Row],[hr]]&lt;17,"Afternoon",IF(Table1[[#This Row],[hr]]&lt;21,"Evening","Night")))</f>
        <v>Morning</v>
      </c>
    </row>
    <row r="528" spans="1:11" x14ac:dyDescent="0.2">
      <c r="A528" s="1">
        <v>527</v>
      </c>
      <c r="B528" s="3">
        <v>40567</v>
      </c>
      <c r="C528" s="1">
        <v>1</v>
      </c>
      <c r="D528" s="1">
        <v>1</v>
      </c>
      <c r="E528" s="1" t="b">
        <v>0</v>
      </c>
      <c r="F528" s="1">
        <v>1</v>
      </c>
      <c r="G528" s="1">
        <v>1</v>
      </c>
      <c r="H528" s="1">
        <v>0.04</v>
      </c>
      <c r="I528" s="1" t="str">
        <f>IF(Table1[[#This Row],[weekday]]&gt;=6,"weekend","weekday")</f>
        <v>weekday</v>
      </c>
      <c r="J528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528" s="1" t="str">
        <f>IF(Table1[[#This Row],[hr]]&lt;12,"Morning",IF(Table1[[#This Row],[hr]]&lt;17,"Afternoon",IF(Table1[[#This Row],[hr]]&lt;21,"Evening","Night")))</f>
        <v>Morning</v>
      </c>
    </row>
    <row r="529" spans="1:11" x14ac:dyDescent="0.2">
      <c r="A529" s="1">
        <v>528</v>
      </c>
      <c r="B529" s="3">
        <v>40567</v>
      </c>
      <c r="C529" s="1">
        <v>1</v>
      </c>
      <c r="D529" s="1">
        <v>3</v>
      </c>
      <c r="E529" s="1" t="b">
        <v>0</v>
      </c>
      <c r="F529" s="1">
        <v>1</v>
      </c>
      <c r="G529" s="1">
        <v>1</v>
      </c>
      <c r="H529" s="1">
        <v>0.04</v>
      </c>
      <c r="I529" s="1" t="str">
        <f>IF(Table1[[#This Row],[weekday]]&gt;=6,"weekend","weekday")</f>
        <v>weekday</v>
      </c>
      <c r="J529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529" s="1" t="str">
        <f>IF(Table1[[#This Row],[hr]]&lt;12,"Morning",IF(Table1[[#This Row],[hr]]&lt;17,"Afternoon",IF(Table1[[#This Row],[hr]]&lt;21,"Evening","Night")))</f>
        <v>Morning</v>
      </c>
    </row>
    <row r="530" spans="1:11" x14ac:dyDescent="0.2">
      <c r="A530" s="1">
        <v>529</v>
      </c>
      <c r="B530" s="3">
        <v>40567</v>
      </c>
      <c r="C530" s="1">
        <v>1</v>
      </c>
      <c r="D530" s="1">
        <v>4</v>
      </c>
      <c r="E530" s="1" t="b">
        <v>0</v>
      </c>
      <c r="F530" s="1">
        <v>1</v>
      </c>
      <c r="G530" s="1">
        <v>1</v>
      </c>
      <c r="H530" s="1">
        <v>0.02</v>
      </c>
      <c r="I530" s="1" t="str">
        <f>IF(Table1[[#This Row],[weekday]]&gt;=6,"weekend","weekday")</f>
        <v>weekday</v>
      </c>
      <c r="J530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530" s="1" t="str">
        <f>IF(Table1[[#This Row],[hr]]&lt;12,"Morning",IF(Table1[[#This Row],[hr]]&lt;17,"Afternoon",IF(Table1[[#This Row],[hr]]&lt;21,"Evening","Night")))</f>
        <v>Morning</v>
      </c>
    </row>
    <row r="531" spans="1:11" x14ac:dyDescent="0.2">
      <c r="A531" s="1">
        <v>530</v>
      </c>
      <c r="B531" s="3">
        <v>40567</v>
      </c>
      <c r="C531" s="1">
        <v>1</v>
      </c>
      <c r="D531" s="1">
        <v>5</v>
      </c>
      <c r="E531" s="1" t="b">
        <v>0</v>
      </c>
      <c r="F531" s="1">
        <v>1</v>
      </c>
      <c r="G531" s="1">
        <v>1</v>
      </c>
      <c r="H531" s="1">
        <v>0.02</v>
      </c>
      <c r="I531" s="1" t="str">
        <f>IF(Table1[[#This Row],[weekday]]&gt;=6,"weekend","weekday")</f>
        <v>weekday</v>
      </c>
      <c r="J531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531" s="1" t="str">
        <f>IF(Table1[[#This Row],[hr]]&lt;12,"Morning",IF(Table1[[#This Row],[hr]]&lt;17,"Afternoon",IF(Table1[[#This Row],[hr]]&lt;21,"Evening","Night")))</f>
        <v>Morning</v>
      </c>
    </row>
    <row r="532" spans="1:11" x14ac:dyDescent="0.2">
      <c r="A532" s="1">
        <v>531</v>
      </c>
      <c r="B532" s="3">
        <v>40567</v>
      </c>
      <c r="C532" s="1">
        <v>1</v>
      </c>
      <c r="D532" s="1">
        <v>6</v>
      </c>
      <c r="E532" s="1" t="b">
        <v>0</v>
      </c>
      <c r="F532" s="1">
        <v>1</v>
      </c>
      <c r="G532" s="1">
        <v>1</v>
      </c>
      <c r="H532" s="1">
        <v>0.02</v>
      </c>
      <c r="I532" s="1" t="str">
        <f>IF(Table1[[#This Row],[weekday]]&gt;=6,"weekend","weekday")</f>
        <v>weekday</v>
      </c>
      <c r="J532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532" s="1" t="str">
        <f>IF(Table1[[#This Row],[hr]]&lt;12,"Morning",IF(Table1[[#This Row],[hr]]&lt;17,"Afternoon",IF(Table1[[#This Row],[hr]]&lt;21,"Evening","Night")))</f>
        <v>Morning</v>
      </c>
    </row>
    <row r="533" spans="1:11" x14ac:dyDescent="0.2">
      <c r="A533" s="1">
        <v>532</v>
      </c>
      <c r="B533" s="3">
        <v>40567</v>
      </c>
      <c r="C533" s="1">
        <v>1</v>
      </c>
      <c r="D533" s="1">
        <v>7</v>
      </c>
      <c r="E533" s="1" t="b">
        <v>0</v>
      </c>
      <c r="F533" s="1">
        <v>1</v>
      </c>
      <c r="G533" s="1">
        <v>1</v>
      </c>
      <c r="H533" s="1">
        <v>0.02</v>
      </c>
      <c r="I533" s="1" t="str">
        <f>IF(Table1[[#This Row],[weekday]]&gt;=6,"weekend","weekday")</f>
        <v>weekday</v>
      </c>
      <c r="J533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533" s="1" t="str">
        <f>IF(Table1[[#This Row],[hr]]&lt;12,"Morning",IF(Table1[[#This Row],[hr]]&lt;17,"Afternoon",IF(Table1[[#This Row],[hr]]&lt;21,"Evening","Night")))</f>
        <v>Morning</v>
      </c>
    </row>
    <row r="534" spans="1:11" x14ac:dyDescent="0.2">
      <c r="A534" s="1">
        <v>533</v>
      </c>
      <c r="B534" s="3">
        <v>40567</v>
      </c>
      <c r="C534" s="1">
        <v>1</v>
      </c>
      <c r="D534" s="1">
        <v>8</v>
      </c>
      <c r="E534" s="1" t="b">
        <v>0</v>
      </c>
      <c r="F534" s="1">
        <v>1</v>
      </c>
      <c r="G534" s="1">
        <v>1</v>
      </c>
      <c r="H534" s="1">
        <v>0.04</v>
      </c>
      <c r="I534" s="1" t="str">
        <f>IF(Table1[[#This Row],[weekday]]&gt;=6,"weekend","weekday")</f>
        <v>weekday</v>
      </c>
      <c r="J534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534" s="1" t="str">
        <f>IF(Table1[[#This Row],[hr]]&lt;12,"Morning",IF(Table1[[#This Row],[hr]]&lt;17,"Afternoon",IF(Table1[[#This Row],[hr]]&lt;21,"Evening","Night")))</f>
        <v>Morning</v>
      </c>
    </row>
    <row r="535" spans="1:11" x14ac:dyDescent="0.2">
      <c r="A535" s="1">
        <v>534</v>
      </c>
      <c r="B535" s="3">
        <v>40567</v>
      </c>
      <c r="C535" s="1">
        <v>1</v>
      </c>
      <c r="D535" s="1">
        <v>9</v>
      </c>
      <c r="E535" s="1" t="b">
        <v>0</v>
      </c>
      <c r="F535" s="1">
        <v>1</v>
      </c>
      <c r="G535" s="1">
        <v>1</v>
      </c>
      <c r="H535" s="1">
        <v>0.06</v>
      </c>
      <c r="I535" s="1" t="str">
        <f>IF(Table1[[#This Row],[weekday]]&gt;=6,"weekend","weekday")</f>
        <v>weekday</v>
      </c>
      <c r="J535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535" s="1" t="str">
        <f>IF(Table1[[#This Row],[hr]]&lt;12,"Morning",IF(Table1[[#This Row],[hr]]&lt;17,"Afternoon",IF(Table1[[#This Row],[hr]]&lt;21,"Evening","Night")))</f>
        <v>Morning</v>
      </c>
    </row>
    <row r="536" spans="1:11" x14ac:dyDescent="0.2">
      <c r="A536" s="1">
        <v>535</v>
      </c>
      <c r="B536" s="3">
        <v>40567</v>
      </c>
      <c r="C536" s="1">
        <v>1</v>
      </c>
      <c r="D536" s="1">
        <v>10</v>
      </c>
      <c r="E536" s="1" t="b">
        <v>0</v>
      </c>
      <c r="F536" s="1">
        <v>1</v>
      </c>
      <c r="G536" s="1">
        <v>1</v>
      </c>
      <c r="H536" s="1">
        <v>0.1</v>
      </c>
      <c r="I536" s="1" t="str">
        <f>IF(Table1[[#This Row],[weekday]]&gt;=6,"weekend","weekday")</f>
        <v>weekday</v>
      </c>
      <c r="J536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536" s="1" t="str">
        <f>IF(Table1[[#This Row],[hr]]&lt;12,"Morning",IF(Table1[[#This Row],[hr]]&lt;17,"Afternoon",IF(Table1[[#This Row],[hr]]&lt;21,"Evening","Night")))</f>
        <v>Morning</v>
      </c>
    </row>
    <row r="537" spans="1:11" x14ac:dyDescent="0.2">
      <c r="A537" s="1">
        <v>536</v>
      </c>
      <c r="B537" s="3">
        <v>40567</v>
      </c>
      <c r="C537" s="1">
        <v>1</v>
      </c>
      <c r="D537" s="1">
        <v>11</v>
      </c>
      <c r="E537" s="1" t="b">
        <v>0</v>
      </c>
      <c r="F537" s="1">
        <v>1</v>
      </c>
      <c r="G537" s="1">
        <v>1</v>
      </c>
      <c r="H537" s="1">
        <v>0.1</v>
      </c>
      <c r="I537" s="1" t="str">
        <f>IF(Table1[[#This Row],[weekday]]&gt;=6,"weekend","weekday")</f>
        <v>weekday</v>
      </c>
      <c r="J537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537" s="1" t="str">
        <f>IF(Table1[[#This Row],[hr]]&lt;12,"Morning",IF(Table1[[#This Row],[hr]]&lt;17,"Afternoon",IF(Table1[[#This Row],[hr]]&lt;21,"Evening","Night")))</f>
        <v>Morning</v>
      </c>
    </row>
    <row r="538" spans="1:11" x14ac:dyDescent="0.2">
      <c r="A538" s="1">
        <v>537</v>
      </c>
      <c r="B538" s="3">
        <v>40567</v>
      </c>
      <c r="C538" s="1">
        <v>1</v>
      </c>
      <c r="D538" s="1">
        <v>12</v>
      </c>
      <c r="E538" s="1" t="b">
        <v>0</v>
      </c>
      <c r="F538" s="1">
        <v>1</v>
      </c>
      <c r="G538" s="1">
        <v>2</v>
      </c>
      <c r="H538" s="1">
        <v>0.12</v>
      </c>
      <c r="I538" s="1" t="str">
        <f>IF(Table1[[#This Row],[weekday]]&gt;=6,"weekend","weekday")</f>
        <v>weekday</v>
      </c>
      <c r="J538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538" s="1" t="str">
        <f>IF(Table1[[#This Row],[hr]]&lt;12,"Morning",IF(Table1[[#This Row],[hr]]&lt;17,"Afternoon",IF(Table1[[#This Row],[hr]]&lt;21,"Evening","Night")))</f>
        <v>Afternoon</v>
      </c>
    </row>
    <row r="539" spans="1:11" x14ac:dyDescent="0.2">
      <c r="A539" s="1">
        <v>538</v>
      </c>
      <c r="B539" s="3">
        <v>40567</v>
      </c>
      <c r="C539" s="1">
        <v>1</v>
      </c>
      <c r="D539" s="1">
        <v>13</v>
      </c>
      <c r="E539" s="1" t="b">
        <v>0</v>
      </c>
      <c r="F539" s="1">
        <v>1</v>
      </c>
      <c r="G539" s="1">
        <v>2</v>
      </c>
      <c r="H539" s="1">
        <v>0.14000000000000001</v>
      </c>
      <c r="I539" s="1" t="str">
        <f>IF(Table1[[#This Row],[weekday]]&gt;=6,"weekend","weekday")</f>
        <v>weekday</v>
      </c>
      <c r="J539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539" s="1" t="str">
        <f>IF(Table1[[#This Row],[hr]]&lt;12,"Morning",IF(Table1[[#This Row],[hr]]&lt;17,"Afternoon",IF(Table1[[#This Row],[hr]]&lt;21,"Evening","Night")))</f>
        <v>Afternoon</v>
      </c>
    </row>
    <row r="540" spans="1:11" x14ac:dyDescent="0.2">
      <c r="A540" s="1">
        <v>539</v>
      </c>
      <c r="B540" s="3">
        <v>40567</v>
      </c>
      <c r="C540" s="1">
        <v>1</v>
      </c>
      <c r="D540" s="1">
        <v>14</v>
      </c>
      <c r="E540" s="1" t="b">
        <v>0</v>
      </c>
      <c r="F540" s="1">
        <v>1</v>
      </c>
      <c r="G540" s="1">
        <v>2</v>
      </c>
      <c r="H540" s="1">
        <v>0.14000000000000001</v>
      </c>
      <c r="I540" s="1" t="str">
        <f>IF(Table1[[#This Row],[weekday]]&gt;=6,"weekend","weekday")</f>
        <v>weekday</v>
      </c>
      <c r="J540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540" s="1" t="str">
        <f>IF(Table1[[#This Row],[hr]]&lt;12,"Morning",IF(Table1[[#This Row],[hr]]&lt;17,"Afternoon",IF(Table1[[#This Row],[hr]]&lt;21,"Evening","Night")))</f>
        <v>Afternoon</v>
      </c>
    </row>
    <row r="541" spans="1:11" x14ac:dyDescent="0.2">
      <c r="A541" s="1">
        <v>540</v>
      </c>
      <c r="B541" s="3">
        <v>40567</v>
      </c>
      <c r="C541" s="1">
        <v>1</v>
      </c>
      <c r="D541" s="1">
        <v>15</v>
      </c>
      <c r="E541" s="1" t="b">
        <v>0</v>
      </c>
      <c r="F541" s="1">
        <v>1</v>
      </c>
      <c r="G541" s="1">
        <v>1</v>
      </c>
      <c r="H541" s="1">
        <v>0.16</v>
      </c>
      <c r="I541" s="1" t="str">
        <f>IF(Table1[[#This Row],[weekday]]&gt;=6,"weekend","weekday")</f>
        <v>weekday</v>
      </c>
      <c r="J541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541" s="1" t="str">
        <f>IF(Table1[[#This Row],[hr]]&lt;12,"Morning",IF(Table1[[#This Row],[hr]]&lt;17,"Afternoon",IF(Table1[[#This Row],[hr]]&lt;21,"Evening","Night")))</f>
        <v>Afternoon</v>
      </c>
    </row>
    <row r="542" spans="1:11" x14ac:dyDescent="0.2">
      <c r="A542" s="1">
        <v>541</v>
      </c>
      <c r="B542" s="3">
        <v>40567</v>
      </c>
      <c r="C542" s="1">
        <v>1</v>
      </c>
      <c r="D542" s="1">
        <v>16</v>
      </c>
      <c r="E542" s="1" t="b">
        <v>0</v>
      </c>
      <c r="F542" s="1">
        <v>1</v>
      </c>
      <c r="G542" s="1">
        <v>1</v>
      </c>
      <c r="H542" s="1">
        <v>0.16</v>
      </c>
      <c r="I542" s="1" t="str">
        <f>IF(Table1[[#This Row],[weekday]]&gt;=6,"weekend","weekday")</f>
        <v>weekday</v>
      </c>
      <c r="J542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542" s="1" t="str">
        <f>IF(Table1[[#This Row],[hr]]&lt;12,"Morning",IF(Table1[[#This Row],[hr]]&lt;17,"Afternoon",IF(Table1[[#This Row],[hr]]&lt;21,"Evening","Night")))</f>
        <v>Afternoon</v>
      </c>
    </row>
    <row r="543" spans="1:11" x14ac:dyDescent="0.2">
      <c r="A543" s="1">
        <v>542</v>
      </c>
      <c r="B543" s="3">
        <v>40567</v>
      </c>
      <c r="C543" s="1">
        <v>1</v>
      </c>
      <c r="D543" s="1">
        <v>17</v>
      </c>
      <c r="E543" s="1" t="b">
        <v>0</v>
      </c>
      <c r="F543" s="1">
        <v>1</v>
      </c>
      <c r="G543" s="1">
        <v>1</v>
      </c>
      <c r="H543" s="1">
        <v>0.14000000000000001</v>
      </c>
      <c r="I543" s="1" t="str">
        <f>IF(Table1[[#This Row],[weekday]]&gt;=6,"weekend","weekday")</f>
        <v>weekday</v>
      </c>
      <c r="J543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543" s="1" t="str">
        <f>IF(Table1[[#This Row],[hr]]&lt;12,"Morning",IF(Table1[[#This Row],[hr]]&lt;17,"Afternoon",IF(Table1[[#This Row],[hr]]&lt;21,"Evening","Night")))</f>
        <v>Evening</v>
      </c>
    </row>
    <row r="544" spans="1:11" x14ac:dyDescent="0.2">
      <c r="A544" s="1">
        <v>543</v>
      </c>
      <c r="B544" s="3">
        <v>40567</v>
      </c>
      <c r="C544" s="1">
        <v>1</v>
      </c>
      <c r="D544" s="1">
        <v>18</v>
      </c>
      <c r="E544" s="1" t="b">
        <v>0</v>
      </c>
      <c r="F544" s="1">
        <v>1</v>
      </c>
      <c r="G544" s="1">
        <v>1</v>
      </c>
      <c r="H544" s="1">
        <v>0.14000000000000001</v>
      </c>
      <c r="I544" s="1" t="str">
        <f>IF(Table1[[#This Row],[weekday]]&gt;=6,"weekend","weekday")</f>
        <v>weekday</v>
      </c>
      <c r="J544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544" s="1" t="str">
        <f>IF(Table1[[#This Row],[hr]]&lt;12,"Morning",IF(Table1[[#This Row],[hr]]&lt;17,"Afternoon",IF(Table1[[#This Row],[hr]]&lt;21,"Evening","Night")))</f>
        <v>Evening</v>
      </c>
    </row>
    <row r="545" spans="1:11" x14ac:dyDescent="0.2">
      <c r="A545" s="1">
        <v>544</v>
      </c>
      <c r="B545" s="3">
        <v>40567</v>
      </c>
      <c r="C545" s="1">
        <v>1</v>
      </c>
      <c r="D545" s="1">
        <v>19</v>
      </c>
      <c r="E545" s="1" t="b">
        <v>0</v>
      </c>
      <c r="F545" s="1">
        <v>1</v>
      </c>
      <c r="G545" s="1">
        <v>1</v>
      </c>
      <c r="H545" s="1">
        <v>0.14000000000000001</v>
      </c>
      <c r="I545" s="1" t="str">
        <f>IF(Table1[[#This Row],[weekday]]&gt;=6,"weekend","weekday")</f>
        <v>weekday</v>
      </c>
      <c r="J545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545" s="1" t="str">
        <f>IF(Table1[[#This Row],[hr]]&lt;12,"Morning",IF(Table1[[#This Row],[hr]]&lt;17,"Afternoon",IF(Table1[[#This Row],[hr]]&lt;21,"Evening","Night")))</f>
        <v>Evening</v>
      </c>
    </row>
    <row r="546" spans="1:11" x14ac:dyDescent="0.2">
      <c r="A546" s="1">
        <v>545</v>
      </c>
      <c r="B546" s="3">
        <v>40567</v>
      </c>
      <c r="C546" s="1">
        <v>1</v>
      </c>
      <c r="D546" s="1">
        <v>20</v>
      </c>
      <c r="E546" s="1" t="b">
        <v>0</v>
      </c>
      <c r="F546" s="1">
        <v>1</v>
      </c>
      <c r="G546" s="1">
        <v>1</v>
      </c>
      <c r="H546" s="1">
        <v>0.14000000000000001</v>
      </c>
      <c r="I546" s="1" t="str">
        <f>IF(Table1[[#This Row],[weekday]]&gt;=6,"weekend","weekday")</f>
        <v>weekday</v>
      </c>
      <c r="J546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546" s="1" t="str">
        <f>IF(Table1[[#This Row],[hr]]&lt;12,"Morning",IF(Table1[[#This Row],[hr]]&lt;17,"Afternoon",IF(Table1[[#This Row],[hr]]&lt;21,"Evening","Night")))</f>
        <v>Evening</v>
      </c>
    </row>
    <row r="547" spans="1:11" x14ac:dyDescent="0.2">
      <c r="A547" s="1">
        <v>546</v>
      </c>
      <c r="B547" s="3">
        <v>40567</v>
      </c>
      <c r="C547" s="1">
        <v>1</v>
      </c>
      <c r="D547" s="1">
        <v>21</v>
      </c>
      <c r="E547" s="1" t="b">
        <v>0</v>
      </c>
      <c r="F547" s="1">
        <v>1</v>
      </c>
      <c r="G547" s="1">
        <v>1</v>
      </c>
      <c r="H547" s="1">
        <v>0.14000000000000001</v>
      </c>
      <c r="I547" s="1" t="str">
        <f>IF(Table1[[#This Row],[weekday]]&gt;=6,"weekend","weekday")</f>
        <v>weekday</v>
      </c>
      <c r="J547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547" s="1" t="str">
        <f>IF(Table1[[#This Row],[hr]]&lt;12,"Morning",IF(Table1[[#This Row],[hr]]&lt;17,"Afternoon",IF(Table1[[#This Row],[hr]]&lt;21,"Evening","Night")))</f>
        <v>Night</v>
      </c>
    </row>
    <row r="548" spans="1:11" x14ac:dyDescent="0.2">
      <c r="A548" s="1">
        <v>547</v>
      </c>
      <c r="B548" s="3">
        <v>40567</v>
      </c>
      <c r="C548" s="1">
        <v>1</v>
      </c>
      <c r="D548" s="1">
        <v>22</v>
      </c>
      <c r="E548" s="1" t="b">
        <v>0</v>
      </c>
      <c r="F548" s="1">
        <v>1</v>
      </c>
      <c r="G548" s="1">
        <v>2</v>
      </c>
      <c r="H548" s="1">
        <v>0.14000000000000001</v>
      </c>
      <c r="I548" s="1" t="str">
        <f>IF(Table1[[#This Row],[weekday]]&gt;=6,"weekend","weekday")</f>
        <v>weekday</v>
      </c>
      <c r="J548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548" s="1" t="str">
        <f>IF(Table1[[#This Row],[hr]]&lt;12,"Morning",IF(Table1[[#This Row],[hr]]&lt;17,"Afternoon",IF(Table1[[#This Row],[hr]]&lt;21,"Evening","Night")))</f>
        <v>Night</v>
      </c>
    </row>
    <row r="549" spans="1:11" x14ac:dyDescent="0.2">
      <c r="A549" s="1">
        <v>548</v>
      </c>
      <c r="B549" s="3">
        <v>40567</v>
      </c>
      <c r="C549" s="1">
        <v>1</v>
      </c>
      <c r="D549" s="1">
        <v>23</v>
      </c>
      <c r="E549" s="1" t="b">
        <v>0</v>
      </c>
      <c r="F549" s="1">
        <v>1</v>
      </c>
      <c r="G549" s="1">
        <v>2</v>
      </c>
      <c r="H549" s="1">
        <v>0.16</v>
      </c>
      <c r="I549" s="1" t="str">
        <f>IF(Table1[[#This Row],[weekday]]&gt;=6,"weekend","weekday")</f>
        <v>weekday</v>
      </c>
      <c r="J549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549" s="1" t="str">
        <f>IF(Table1[[#This Row],[hr]]&lt;12,"Morning",IF(Table1[[#This Row],[hr]]&lt;17,"Afternoon",IF(Table1[[#This Row],[hr]]&lt;21,"Evening","Night")))</f>
        <v>Night</v>
      </c>
    </row>
    <row r="550" spans="1:11" x14ac:dyDescent="0.2">
      <c r="A550" s="1">
        <v>549</v>
      </c>
      <c r="B550" s="3">
        <v>40568</v>
      </c>
      <c r="C550" s="1">
        <v>1</v>
      </c>
      <c r="D550" s="1">
        <v>0</v>
      </c>
      <c r="E550" s="1" t="b">
        <v>0</v>
      </c>
      <c r="F550" s="1">
        <v>2</v>
      </c>
      <c r="G550" s="1">
        <v>2</v>
      </c>
      <c r="H550" s="1">
        <v>0.16</v>
      </c>
      <c r="I550" s="1" t="str">
        <f>IF(Table1[[#This Row],[weekday]]&gt;=6,"weekend","weekday")</f>
        <v>weekday</v>
      </c>
      <c r="J550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550" s="1" t="str">
        <f>IF(Table1[[#This Row],[hr]]&lt;12,"Morning",IF(Table1[[#This Row],[hr]]&lt;17,"Afternoon",IF(Table1[[#This Row],[hr]]&lt;21,"Evening","Night")))</f>
        <v>Morning</v>
      </c>
    </row>
    <row r="551" spans="1:11" x14ac:dyDescent="0.2">
      <c r="A551" s="1">
        <v>550</v>
      </c>
      <c r="B551" s="3">
        <v>40568</v>
      </c>
      <c r="C551" s="1">
        <v>1</v>
      </c>
      <c r="D551" s="1">
        <v>1</v>
      </c>
      <c r="E551" s="1" t="b">
        <v>0</v>
      </c>
      <c r="F551" s="1">
        <v>2</v>
      </c>
      <c r="G551" s="1">
        <v>2</v>
      </c>
      <c r="H551" s="1">
        <v>0.16</v>
      </c>
      <c r="I551" s="1" t="str">
        <f>IF(Table1[[#This Row],[weekday]]&gt;=6,"weekend","weekday")</f>
        <v>weekday</v>
      </c>
      <c r="J551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551" s="1" t="str">
        <f>IF(Table1[[#This Row],[hr]]&lt;12,"Morning",IF(Table1[[#This Row],[hr]]&lt;17,"Afternoon",IF(Table1[[#This Row],[hr]]&lt;21,"Evening","Night")))</f>
        <v>Morning</v>
      </c>
    </row>
    <row r="552" spans="1:11" x14ac:dyDescent="0.2">
      <c r="A552" s="1">
        <v>551</v>
      </c>
      <c r="B552" s="3">
        <v>40568</v>
      </c>
      <c r="C552" s="1">
        <v>1</v>
      </c>
      <c r="D552" s="1">
        <v>2</v>
      </c>
      <c r="E552" s="1" t="b">
        <v>0</v>
      </c>
      <c r="F552" s="1">
        <v>2</v>
      </c>
      <c r="G552" s="1">
        <v>1</v>
      </c>
      <c r="H552" s="1">
        <v>0.16</v>
      </c>
      <c r="I552" s="1" t="str">
        <f>IF(Table1[[#This Row],[weekday]]&gt;=6,"weekend","weekday")</f>
        <v>weekday</v>
      </c>
      <c r="J552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552" s="1" t="str">
        <f>IF(Table1[[#This Row],[hr]]&lt;12,"Morning",IF(Table1[[#This Row],[hr]]&lt;17,"Afternoon",IF(Table1[[#This Row],[hr]]&lt;21,"Evening","Night")))</f>
        <v>Morning</v>
      </c>
    </row>
    <row r="553" spans="1:11" x14ac:dyDescent="0.2">
      <c r="A553" s="1">
        <v>552</v>
      </c>
      <c r="B553" s="3">
        <v>40568</v>
      </c>
      <c r="C553" s="1">
        <v>1</v>
      </c>
      <c r="D553" s="1">
        <v>4</v>
      </c>
      <c r="E553" s="1" t="b">
        <v>0</v>
      </c>
      <c r="F553" s="1">
        <v>2</v>
      </c>
      <c r="G553" s="1">
        <v>1</v>
      </c>
      <c r="H553" s="1">
        <v>0.14000000000000001</v>
      </c>
      <c r="I553" s="1" t="str">
        <f>IF(Table1[[#This Row],[weekday]]&gt;=6,"weekend","weekday")</f>
        <v>weekday</v>
      </c>
      <c r="J553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553" s="1" t="str">
        <f>IF(Table1[[#This Row],[hr]]&lt;12,"Morning",IF(Table1[[#This Row],[hr]]&lt;17,"Afternoon",IF(Table1[[#This Row],[hr]]&lt;21,"Evening","Night")))</f>
        <v>Morning</v>
      </c>
    </row>
    <row r="554" spans="1:11" x14ac:dyDescent="0.2">
      <c r="A554" s="1">
        <v>553</v>
      </c>
      <c r="B554" s="3">
        <v>40568</v>
      </c>
      <c r="C554" s="1">
        <v>1</v>
      </c>
      <c r="D554" s="1">
        <v>5</v>
      </c>
      <c r="E554" s="1" t="b">
        <v>0</v>
      </c>
      <c r="F554" s="1">
        <v>2</v>
      </c>
      <c r="G554" s="1">
        <v>1</v>
      </c>
      <c r="H554" s="1">
        <v>0.14000000000000001</v>
      </c>
      <c r="I554" s="1" t="str">
        <f>IF(Table1[[#This Row],[weekday]]&gt;=6,"weekend","weekday")</f>
        <v>weekday</v>
      </c>
      <c r="J554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554" s="1" t="str">
        <f>IF(Table1[[#This Row],[hr]]&lt;12,"Morning",IF(Table1[[#This Row],[hr]]&lt;17,"Afternoon",IF(Table1[[#This Row],[hr]]&lt;21,"Evening","Night")))</f>
        <v>Morning</v>
      </c>
    </row>
    <row r="555" spans="1:11" x14ac:dyDescent="0.2">
      <c r="A555" s="1">
        <v>554</v>
      </c>
      <c r="B555" s="3">
        <v>40568</v>
      </c>
      <c r="C555" s="1">
        <v>1</v>
      </c>
      <c r="D555" s="1">
        <v>6</v>
      </c>
      <c r="E555" s="1" t="b">
        <v>0</v>
      </c>
      <c r="F555" s="1">
        <v>2</v>
      </c>
      <c r="G555" s="1">
        <v>1</v>
      </c>
      <c r="H555" s="1">
        <v>0.16</v>
      </c>
      <c r="I555" s="1" t="str">
        <f>IF(Table1[[#This Row],[weekday]]&gt;=6,"weekend","weekday")</f>
        <v>weekday</v>
      </c>
      <c r="J555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555" s="1" t="str">
        <f>IF(Table1[[#This Row],[hr]]&lt;12,"Morning",IF(Table1[[#This Row],[hr]]&lt;17,"Afternoon",IF(Table1[[#This Row],[hr]]&lt;21,"Evening","Night")))</f>
        <v>Morning</v>
      </c>
    </row>
    <row r="556" spans="1:11" x14ac:dyDescent="0.2">
      <c r="A556" s="1">
        <v>555</v>
      </c>
      <c r="B556" s="3">
        <v>40568</v>
      </c>
      <c r="C556" s="1">
        <v>1</v>
      </c>
      <c r="D556" s="1">
        <v>7</v>
      </c>
      <c r="E556" s="1" t="b">
        <v>0</v>
      </c>
      <c r="F556" s="1">
        <v>2</v>
      </c>
      <c r="G556" s="1">
        <v>1</v>
      </c>
      <c r="H556" s="1">
        <v>0.16</v>
      </c>
      <c r="I556" s="1" t="str">
        <f>IF(Table1[[#This Row],[weekday]]&gt;=6,"weekend","weekday")</f>
        <v>weekday</v>
      </c>
      <c r="J556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556" s="1" t="str">
        <f>IF(Table1[[#This Row],[hr]]&lt;12,"Morning",IF(Table1[[#This Row],[hr]]&lt;17,"Afternoon",IF(Table1[[#This Row],[hr]]&lt;21,"Evening","Night")))</f>
        <v>Morning</v>
      </c>
    </row>
    <row r="557" spans="1:11" x14ac:dyDescent="0.2">
      <c r="A557" s="1">
        <v>556</v>
      </c>
      <c r="B557" s="3">
        <v>40568</v>
      </c>
      <c r="C557" s="1">
        <v>1</v>
      </c>
      <c r="D557" s="1">
        <v>8</v>
      </c>
      <c r="E557" s="1" t="b">
        <v>0</v>
      </c>
      <c r="F557" s="1">
        <v>2</v>
      </c>
      <c r="G557" s="1">
        <v>2</v>
      </c>
      <c r="H557" s="1">
        <v>0.16</v>
      </c>
      <c r="I557" s="1" t="str">
        <f>IF(Table1[[#This Row],[weekday]]&gt;=6,"weekend","weekday")</f>
        <v>weekday</v>
      </c>
      <c r="J557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557" s="1" t="str">
        <f>IF(Table1[[#This Row],[hr]]&lt;12,"Morning",IF(Table1[[#This Row],[hr]]&lt;17,"Afternoon",IF(Table1[[#This Row],[hr]]&lt;21,"Evening","Night")))</f>
        <v>Morning</v>
      </c>
    </row>
    <row r="558" spans="1:11" x14ac:dyDescent="0.2">
      <c r="A558" s="1">
        <v>557</v>
      </c>
      <c r="B558" s="3">
        <v>40568</v>
      </c>
      <c r="C558" s="1">
        <v>1</v>
      </c>
      <c r="D558" s="1">
        <v>9</v>
      </c>
      <c r="E558" s="1" t="b">
        <v>0</v>
      </c>
      <c r="F558" s="1">
        <v>2</v>
      </c>
      <c r="G558" s="1">
        <v>2</v>
      </c>
      <c r="H558" s="1">
        <v>0.2</v>
      </c>
      <c r="I558" s="1" t="str">
        <f>IF(Table1[[#This Row],[weekday]]&gt;=6,"weekend","weekday")</f>
        <v>weekday</v>
      </c>
      <c r="J558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558" s="1" t="str">
        <f>IF(Table1[[#This Row],[hr]]&lt;12,"Morning",IF(Table1[[#This Row],[hr]]&lt;17,"Afternoon",IF(Table1[[#This Row],[hr]]&lt;21,"Evening","Night")))</f>
        <v>Morning</v>
      </c>
    </row>
    <row r="559" spans="1:11" x14ac:dyDescent="0.2">
      <c r="A559" s="1">
        <v>558</v>
      </c>
      <c r="B559" s="3">
        <v>40568</v>
      </c>
      <c r="C559" s="1">
        <v>1</v>
      </c>
      <c r="D559" s="1">
        <v>10</v>
      </c>
      <c r="E559" s="1" t="b">
        <v>0</v>
      </c>
      <c r="F559" s="1">
        <v>2</v>
      </c>
      <c r="G559" s="1">
        <v>2</v>
      </c>
      <c r="H559" s="1">
        <v>0.22</v>
      </c>
      <c r="I559" s="1" t="str">
        <f>IF(Table1[[#This Row],[weekday]]&gt;=6,"weekend","weekday")</f>
        <v>weekday</v>
      </c>
      <c r="J559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559" s="1" t="str">
        <f>IF(Table1[[#This Row],[hr]]&lt;12,"Morning",IF(Table1[[#This Row],[hr]]&lt;17,"Afternoon",IF(Table1[[#This Row],[hr]]&lt;21,"Evening","Night")))</f>
        <v>Morning</v>
      </c>
    </row>
    <row r="560" spans="1:11" x14ac:dyDescent="0.2">
      <c r="A560" s="1">
        <v>559</v>
      </c>
      <c r="B560" s="3">
        <v>40568</v>
      </c>
      <c r="C560" s="1">
        <v>1</v>
      </c>
      <c r="D560" s="1">
        <v>11</v>
      </c>
      <c r="E560" s="1" t="b">
        <v>0</v>
      </c>
      <c r="F560" s="1">
        <v>2</v>
      </c>
      <c r="G560" s="1">
        <v>2</v>
      </c>
      <c r="H560" s="1">
        <v>0.24</v>
      </c>
      <c r="I560" s="1" t="str">
        <f>IF(Table1[[#This Row],[weekday]]&gt;=6,"weekend","weekday")</f>
        <v>weekday</v>
      </c>
      <c r="J560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560" s="1" t="str">
        <f>IF(Table1[[#This Row],[hr]]&lt;12,"Morning",IF(Table1[[#This Row],[hr]]&lt;17,"Afternoon",IF(Table1[[#This Row],[hr]]&lt;21,"Evening","Night")))</f>
        <v>Morning</v>
      </c>
    </row>
    <row r="561" spans="1:11" x14ac:dyDescent="0.2">
      <c r="A561" s="1">
        <v>560</v>
      </c>
      <c r="B561" s="3">
        <v>40568</v>
      </c>
      <c r="C561" s="1">
        <v>1</v>
      </c>
      <c r="D561" s="1">
        <v>12</v>
      </c>
      <c r="E561" s="1" t="b">
        <v>0</v>
      </c>
      <c r="F561" s="1">
        <v>2</v>
      </c>
      <c r="G561" s="1">
        <v>2</v>
      </c>
      <c r="H561" s="1">
        <v>0.26</v>
      </c>
      <c r="I561" s="1" t="str">
        <f>IF(Table1[[#This Row],[weekday]]&gt;=6,"weekend","weekday")</f>
        <v>weekday</v>
      </c>
      <c r="J561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561" s="1" t="str">
        <f>IF(Table1[[#This Row],[hr]]&lt;12,"Morning",IF(Table1[[#This Row],[hr]]&lt;17,"Afternoon",IF(Table1[[#This Row],[hr]]&lt;21,"Evening","Night")))</f>
        <v>Afternoon</v>
      </c>
    </row>
    <row r="562" spans="1:11" x14ac:dyDescent="0.2">
      <c r="A562" s="1">
        <v>561</v>
      </c>
      <c r="B562" s="3">
        <v>40568</v>
      </c>
      <c r="C562" s="1">
        <v>1</v>
      </c>
      <c r="D562" s="1">
        <v>13</v>
      </c>
      <c r="E562" s="1" t="b">
        <v>0</v>
      </c>
      <c r="F562" s="1">
        <v>2</v>
      </c>
      <c r="G562" s="1">
        <v>2</v>
      </c>
      <c r="H562" s="1">
        <v>0.26</v>
      </c>
      <c r="I562" s="1" t="str">
        <f>IF(Table1[[#This Row],[weekday]]&gt;=6,"weekend","weekday")</f>
        <v>weekday</v>
      </c>
      <c r="J562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562" s="1" t="str">
        <f>IF(Table1[[#This Row],[hr]]&lt;12,"Morning",IF(Table1[[#This Row],[hr]]&lt;17,"Afternoon",IF(Table1[[#This Row],[hr]]&lt;21,"Evening","Night")))</f>
        <v>Afternoon</v>
      </c>
    </row>
    <row r="563" spans="1:11" x14ac:dyDescent="0.2">
      <c r="A563" s="1">
        <v>562</v>
      </c>
      <c r="B563" s="3">
        <v>40568</v>
      </c>
      <c r="C563" s="1">
        <v>1</v>
      </c>
      <c r="D563" s="1">
        <v>14</v>
      </c>
      <c r="E563" s="1" t="b">
        <v>0</v>
      </c>
      <c r="F563" s="1">
        <v>2</v>
      </c>
      <c r="G563" s="1">
        <v>2</v>
      </c>
      <c r="H563" s="1">
        <v>0.3</v>
      </c>
      <c r="I563" s="1" t="str">
        <f>IF(Table1[[#This Row],[weekday]]&gt;=6,"weekend","weekday")</f>
        <v>weekday</v>
      </c>
      <c r="J563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563" s="1" t="str">
        <f>IF(Table1[[#This Row],[hr]]&lt;12,"Morning",IF(Table1[[#This Row],[hr]]&lt;17,"Afternoon",IF(Table1[[#This Row],[hr]]&lt;21,"Evening","Night")))</f>
        <v>Afternoon</v>
      </c>
    </row>
    <row r="564" spans="1:11" x14ac:dyDescent="0.2">
      <c r="A564" s="1">
        <v>563</v>
      </c>
      <c r="B564" s="3">
        <v>40568</v>
      </c>
      <c r="C564" s="1">
        <v>1</v>
      </c>
      <c r="D564" s="1">
        <v>15</v>
      </c>
      <c r="E564" s="1" t="b">
        <v>0</v>
      </c>
      <c r="F564" s="1">
        <v>2</v>
      </c>
      <c r="G564" s="1">
        <v>2</v>
      </c>
      <c r="H564" s="1">
        <v>0.32</v>
      </c>
      <c r="I564" s="1" t="str">
        <f>IF(Table1[[#This Row],[weekday]]&gt;=6,"weekend","weekday")</f>
        <v>weekday</v>
      </c>
      <c r="J564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564" s="1" t="str">
        <f>IF(Table1[[#This Row],[hr]]&lt;12,"Morning",IF(Table1[[#This Row],[hr]]&lt;17,"Afternoon",IF(Table1[[#This Row],[hr]]&lt;21,"Evening","Night")))</f>
        <v>Afternoon</v>
      </c>
    </row>
    <row r="565" spans="1:11" x14ac:dyDescent="0.2">
      <c r="A565" s="1">
        <v>564</v>
      </c>
      <c r="B565" s="3">
        <v>40568</v>
      </c>
      <c r="C565" s="1">
        <v>1</v>
      </c>
      <c r="D565" s="1">
        <v>16</v>
      </c>
      <c r="E565" s="1" t="b">
        <v>0</v>
      </c>
      <c r="F565" s="1">
        <v>2</v>
      </c>
      <c r="G565" s="1">
        <v>2</v>
      </c>
      <c r="H565" s="1">
        <v>0.32</v>
      </c>
      <c r="I565" s="1" t="str">
        <f>IF(Table1[[#This Row],[weekday]]&gt;=6,"weekend","weekday")</f>
        <v>weekday</v>
      </c>
      <c r="J565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565" s="1" t="str">
        <f>IF(Table1[[#This Row],[hr]]&lt;12,"Morning",IF(Table1[[#This Row],[hr]]&lt;17,"Afternoon",IF(Table1[[#This Row],[hr]]&lt;21,"Evening","Night")))</f>
        <v>Afternoon</v>
      </c>
    </row>
    <row r="566" spans="1:11" x14ac:dyDescent="0.2">
      <c r="A566" s="1">
        <v>565</v>
      </c>
      <c r="B566" s="3">
        <v>40568</v>
      </c>
      <c r="C566" s="1">
        <v>1</v>
      </c>
      <c r="D566" s="1">
        <v>17</v>
      </c>
      <c r="E566" s="1" t="b">
        <v>0</v>
      </c>
      <c r="F566" s="1">
        <v>2</v>
      </c>
      <c r="G566" s="1">
        <v>1</v>
      </c>
      <c r="H566" s="1">
        <v>0.3</v>
      </c>
      <c r="I566" s="1" t="str">
        <f>IF(Table1[[#This Row],[weekday]]&gt;=6,"weekend","weekday")</f>
        <v>weekday</v>
      </c>
      <c r="J566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566" s="1" t="str">
        <f>IF(Table1[[#This Row],[hr]]&lt;12,"Morning",IF(Table1[[#This Row],[hr]]&lt;17,"Afternoon",IF(Table1[[#This Row],[hr]]&lt;21,"Evening","Night")))</f>
        <v>Evening</v>
      </c>
    </row>
    <row r="567" spans="1:11" x14ac:dyDescent="0.2">
      <c r="A567" s="1">
        <v>566</v>
      </c>
      <c r="B567" s="3">
        <v>40568</v>
      </c>
      <c r="C567" s="1">
        <v>1</v>
      </c>
      <c r="D567" s="1">
        <v>18</v>
      </c>
      <c r="E567" s="1" t="b">
        <v>0</v>
      </c>
      <c r="F567" s="1">
        <v>2</v>
      </c>
      <c r="G567" s="1">
        <v>2</v>
      </c>
      <c r="H567" s="1">
        <v>0.3</v>
      </c>
      <c r="I567" s="1" t="str">
        <f>IF(Table1[[#This Row],[weekday]]&gt;=6,"weekend","weekday")</f>
        <v>weekday</v>
      </c>
      <c r="J567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567" s="1" t="str">
        <f>IF(Table1[[#This Row],[hr]]&lt;12,"Morning",IF(Table1[[#This Row],[hr]]&lt;17,"Afternoon",IF(Table1[[#This Row],[hr]]&lt;21,"Evening","Night")))</f>
        <v>Evening</v>
      </c>
    </row>
    <row r="568" spans="1:11" x14ac:dyDescent="0.2">
      <c r="A568" s="1">
        <v>567</v>
      </c>
      <c r="B568" s="3">
        <v>40568</v>
      </c>
      <c r="C568" s="1">
        <v>1</v>
      </c>
      <c r="D568" s="1">
        <v>19</v>
      </c>
      <c r="E568" s="1" t="b">
        <v>0</v>
      </c>
      <c r="F568" s="1">
        <v>2</v>
      </c>
      <c r="G568" s="1">
        <v>2</v>
      </c>
      <c r="H568" s="1">
        <v>0.26</v>
      </c>
      <c r="I568" s="1" t="str">
        <f>IF(Table1[[#This Row],[weekday]]&gt;=6,"weekend","weekday")</f>
        <v>weekday</v>
      </c>
      <c r="J568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568" s="1" t="str">
        <f>IF(Table1[[#This Row],[hr]]&lt;12,"Morning",IF(Table1[[#This Row],[hr]]&lt;17,"Afternoon",IF(Table1[[#This Row],[hr]]&lt;21,"Evening","Night")))</f>
        <v>Evening</v>
      </c>
    </row>
    <row r="569" spans="1:11" x14ac:dyDescent="0.2">
      <c r="A569" s="1">
        <v>568</v>
      </c>
      <c r="B569" s="3">
        <v>40568</v>
      </c>
      <c r="C569" s="1">
        <v>1</v>
      </c>
      <c r="D569" s="1">
        <v>20</v>
      </c>
      <c r="E569" s="1" t="b">
        <v>0</v>
      </c>
      <c r="F569" s="1">
        <v>2</v>
      </c>
      <c r="G569" s="1">
        <v>1</v>
      </c>
      <c r="H569" s="1">
        <v>0.24</v>
      </c>
      <c r="I569" s="1" t="str">
        <f>IF(Table1[[#This Row],[weekday]]&gt;=6,"weekend","weekday")</f>
        <v>weekday</v>
      </c>
      <c r="J569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569" s="1" t="str">
        <f>IF(Table1[[#This Row],[hr]]&lt;12,"Morning",IF(Table1[[#This Row],[hr]]&lt;17,"Afternoon",IF(Table1[[#This Row],[hr]]&lt;21,"Evening","Night")))</f>
        <v>Evening</v>
      </c>
    </row>
    <row r="570" spans="1:11" x14ac:dyDescent="0.2">
      <c r="A570" s="1">
        <v>569</v>
      </c>
      <c r="B570" s="3">
        <v>40568</v>
      </c>
      <c r="C570" s="1">
        <v>1</v>
      </c>
      <c r="D570" s="1">
        <v>21</v>
      </c>
      <c r="E570" s="1" t="b">
        <v>0</v>
      </c>
      <c r="F570" s="1">
        <v>2</v>
      </c>
      <c r="G570" s="1">
        <v>1</v>
      </c>
      <c r="H570" s="1">
        <v>0.24</v>
      </c>
      <c r="I570" s="1" t="str">
        <f>IF(Table1[[#This Row],[weekday]]&gt;=6,"weekend","weekday")</f>
        <v>weekday</v>
      </c>
      <c r="J570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570" s="1" t="str">
        <f>IF(Table1[[#This Row],[hr]]&lt;12,"Morning",IF(Table1[[#This Row],[hr]]&lt;17,"Afternoon",IF(Table1[[#This Row],[hr]]&lt;21,"Evening","Night")))</f>
        <v>Night</v>
      </c>
    </row>
    <row r="571" spans="1:11" x14ac:dyDescent="0.2">
      <c r="A571" s="1">
        <v>570</v>
      </c>
      <c r="B571" s="3">
        <v>40568</v>
      </c>
      <c r="C571" s="1">
        <v>1</v>
      </c>
      <c r="D571" s="1">
        <v>22</v>
      </c>
      <c r="E571" s="1" t="b">
        <v>0</v>
      </c>
      <c r="F571" s="1">
        <v>2</v>
      </c>
      <c r="G571" s="1">
        <v>1</v>
      </c>
      <c r="H571" s="1">
        <v>0.22</v>
      </c>
      <c r="I571" s="1" t="str">
        <f>IF(Table1[[#This Row],[weekday]]&gt;=6,"weekend","weekday")</f>
        <v>weekday</v>
      </c>
      <c r="J571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571" s="1" t="str">
        <f>IF(Table1[[#This Row],[hr]]&lt;12,"Morning",IF(Table1[[#This Row],[hr]]&lt;17,"Afternoon",IF(Table1[[#This Row],[hr]]&lt;21,"Evening","Night")))</f>
        <v>Night</v>
      </c>
    </row>
    <row r="572" spans="1:11" x14ac:dyDescent="0.2">
      <c r="A572" s="1">
        <v>571</v>
      </c>
      <c r="B572" s="3">
        <v>40568</v>
      </c>
      <c r="C572" s="1">
        <v>1</v>
      </c>
      <c r="D572" s="1">
        <v>23</v>
      </c>
      <c r="E572" s="1" t="b">
        <v>0</v>
      </c>
      <c r="F572" s="1">
        <v>2</v>
      </c>
      <c r="G572" s="1">
        <v>2</v>
      </c>
      <c r="H572" s="1">
        <v>0.22</v>
      </c>
      <c r="I572" s="1" t="str">
        <f>IF(Table1[[#This Row],[weekday]]&gt;=6,"weekend","weekday")</f>
        <v>weekday</v>
      </c>
      <c r="J572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572" s="1" t="str">
        <f>IF(Table1[[#This Row],[hr]]&lt;12,"Morning",IF(Table1[[#This Row],[hr]]&lt;17,"Afternoon",IF(Table1[[#This Row],[hr]]&lt;21,"Evening","Night")))</f>
        <v>Night</v>
      </c>
    </row>
    <row r="573" spans="1:11" x14ac:dyDescent="0.2">
      <c r="A573" s="1">
        <v>572</v>
      </c>
      <c r="B573" s="3">
        <v>40569</v>
      </c>
      <c r="C573" s="1">
        <v>1</v>
      </c>
      <c r="D573" s="1">
        <v>0</v>
      </c>
      <c r="E573" s="1" t="b">
        <v>0</v>
      </c>
      <c r="F573" s="1">
        <v>3</v>
      </c>
      <c r="G573" s="1">
        <v>2</v>
      </c>
      <c r="H573" s="1">
        <v>0.22</v>
      </c>
      <c r="I573" s="1" t="str">
        <f>IF(Table1[[#This Row],[weekday]]&gt;=6,"weekend","weekday")</f>
        <v>weekday</v>
      </c>
      <c r="J573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573" s="1" t="str">
        <f>IF(Table1[[#This Row],[hr]]&lt;12,"Morning",IF(Table1[[#This Row],[hr]]&lt;17,"Afternoon",IF(Table1[[#This Row],[hr]]&lt;21,"Evening","Night")))</f>
        <v>Morning</v>
      </c>
    </row>
    <row r="574" spans="1:11" x14ac:dyDescent="0.2">
      <c r="A574" s="1">
        <v>573</v>
      </c>
      <c r="B574" s="3">
        <v>40569</v>
      </c>
      <c r="C574" s="1">
        <v>1</v>
      </c>
      <c r="D574" s="1">
        <v>1</v>
      </c>
      <c r="E574" s="1" t="b">
        <v>0</v>
      </c>
      <c r="F574" s="1">
        <v>3</v>
      </c>
      <c r="G574" s="1">
        <v>2</v>
      </c>
      <c r="H574" s="1">
        <v>0.24</v>
      </c>
      <c r="I574" s="1" t="str">
        <f>IF(Table1[[#This Row],[weekday]]&gt;=6,"weekend","weekday")</f>
        <v>weekday</v>
      </c>
      <c r="J574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574" s="1" t="str">
        <f>IF(Table1[[#This Row],[hr]]&lt;12,"Morning",IF(Table1[[#This Row],[hr]]&lt;17,"Afternoon",IF(Table1[[#This Row],[hr]]&lt;21,"Evening","Night")))</f>
        <v>Morning</v>
      </c>
    </row>
    <row r="575" spans="1:11" x14ac:dyDescent="0.2">
      <c r="A575" s="1">
        <v>574</v>
      </c>
      <c r="B575" s="3">
        <v>40569</v>
      </c>
      <c r="C575" s="1">
        <v>1</v>
      </c>
      <c r="D575" s="1">
        <v>2</v>
      </c>
      <c r="E575" s="1" t="b">
        <v>0</v>
      </c>
      <c r="F575" s="1">
        <v>3</v>
      </c>
      <c r="G575" s="1">
        <v>3</v>
      </c>
      <c r="H575" s="1">
        <v>0.22</v>
      </c>
      <c r="I575" s="1" t="str">
        <f>IF(Table1[[#This Row],[weekday]]&gt;=6,"weekend","weekday")</f>
        <v>weekday</v>
      </c>
      <c r="J575" s="1" t="str">
        <f>IF(Table1[[#This Row],[weathersit]]=1,"clear sky",IF(Table1[[#This Row],[weathersit]]=2,"Little cloudy",IF(Table1[[#This Row],[weathersit]]=3,"Little Rain",IF(Table1[[#This Row],[weathersit]]=4,"Heavy Rainfoll"," "))))</f>
        <v>Little Rain</v>
      </c>
      <c r="K575" s="1" t="str">
        <f>IF(Table1[[#This Row],[hr]]&lt;12,"Morning",IF(Table1[[#This Row],[hr]]&lt;17,"Afternoon",IF(Table1[[#This Row],[hr]]&lt;21,"Evening","Night")))</f>
        <v>Morning</v>
      </c>
    </row>
    <row r="576" spans="1:11" x14ac:dyDescent="0.2">
      <c r="A576" s="1">
        <v>575</v>
      </c>
      <c r="B576" s="3">
        <v>40569</v>
      </c>
      <c r="C576" s="1">
        <v>1</v>
      </c>
      <c r="D576" s="1">
        <v>5</v>
      </c>
      <c r="E576" s="1" t="b">
        <v>0</v>
      </c>
      <c r="F576" s="1">
        <v>3</v>
      </c>
      <c r="G576" s="1">
        <v>3</v>
      </c>
      <c r="H576" s="1">
        <v>0.2</v>
      </c>
      <c r="I576" s="1" t="str">
        <f>IF(Table1[[#This Row],[weekday]]&gt;=6,"weekend","weekday")</f>
        <v>weekday</v>
      </c>
      <c r="J576" s="1" t="str">
        <f>IF(Table1[[#This Row],[weathersit]]=1,"clear sky",IF(Table1[[#This Row],[weathersit]]=2,"Little cloudy",IF(Table1[[#This Row],[weathersit]]=3,"Little Rain",IF(Table1[[#This Row],[weathersit]]=4,"Heavy Rainfoll"," "))))</f>
        <v>Little Rain</v>
      </c>
      <c r="K576" s="1" t="str">
        <f>IF(Table1[[#This Row],[hr]]&lt;12,"Morning",IF(Table1[[#This Row],[hr]]&lt;17,"Afternoon",IF(Table1[[#This Row],[hr]]&lt;21,"Evening","Night")))</f>
        <v>Morning</v>
      </c>
    </row>
    <row r="577" spans="1:11" x14ac:dyDescent="0.2">
      <c r="A577" s="1">
        <v>576</v>
      </c>
      <c r="B577" s="3">
        <v>40569</v>
      </c>
      <c r="C577" s="1">
        <v>1</v>
      </c>
      <c r="D577" s="1">
        <v>6</v>
      </c>
      <c r="E577" s="1" t="b">
        <v>0</v>
      </c>
      <c r="F577" s="1">
        <v>3</v>
      </c>
      <c r="G577" s="1">
        <v>3</v>
      </c>
      <c r="H577" s="1">
        <v>0.2</v>
      </c>
      <c r="I577" s="1" t="str">
        <f>IF(Table1[[#This Row],[weekday]]&gt;=6,"weekend","weekday")</f>
        <v>weekday</v>
      </c>
      <c r="J577" s="1" t="str">
        <f>IF(Table1[[#This Row],[weathersit]]=1,"clear sky",IF(Table1[[#This Row],[weathersit]]=2,"Little cloudy",IF(Table1[[#This Row],[weathersit]]=3,"Little Rain",IF(Table1[[#This Row],[weathersit]]=4,"Heavy Rainfoll"," "))))</f>
        <v>Little Rain</v>
      </c>
      <c r="K577" s="1" t="str">
        <f>IF(Table1[[#This Row],[hr]]&lt;12,"Morning",IF(Table1[[#This Row],[hr]]&lt;17,"Afternoon",IF(Table1[[#This Row],[hr]]&lt;21,"Evening","Night")))</f>
        <v>Morning</v>
      </c>
    </row>
    <row r="578" spans="1:11" x14ac:dyDescent="0.2">
      <c r="A578" s="1">
        <v>577</v>
      </c>
      <c r="B578" s="3">
        <v>40569</v>
      </c>
      <c r="C578" s="1">
        <v>1</v>
      </c>
      <c r="D578" s="1">
        <v>7</v>
      </c>
      <c r="E578" s="1" t="b">
        <v>0</v>
      </c>
      <c r="F578" s="1">
        <v>3</v>
      </c>
      <c r="G578" s="1">
        <v>3</v>
      </c>
      <c r="H578" s="1">
        <v>0.22</v>
      </c>
      <c r="I578" s="1" t="str">
        <f>IF(Table1[[#This Row],[weekday]]&gt;=6,"weekend","weekday")</f>
        <v>weekday</v>
      </c>
      <c r="J578" s="1" t="str">
        <f>IF(Table1[[#This Row],[weathersit]]=1,"clear sky",IF(Table1[[#This Row],[weathersit]]=2,"Little cloudy",IF(Table1[[#This Row],[weathersit]]=3,"Little Rain",IF(Table1[[#This Row],[weathersit]]=4,"Heavy Rainfoll"," "))))</f>
        <v>Little Rain</v>
      </c>
      <c r="K578" s="1" t="str">
        <f>IF(Table1[[#This Row],[hr]]&lt;12,"Morning",IF(Table1[[#This Row],[hr]]&lt;17,"Afternoon",IF(Table1[[#This Row],[hr]]&lt;21,"Evening","Night")))</f>
        <v>Morning</v>
      </c>
    </row>
    <row r="579" spans="1:11" x14ac:dyDescent="0.2">
      <c r="A579" s="1">
        <v>578</v>
      </c>
      <c r="B579" s="3">
        <v>40569</v>
      </c>
      <c r="C579" s="1">
        <v>1</v>
      </c>
      <c r="D579" s="1">
        <v>8</v>
      </c>
      <c r="E579" s="1" t="b">
        <v>0</v>
      </c>
      <c r="F579" s="1">
        <v>3</v>
      </c>
      <c r="G579" s="1">
        <v>3</v>
      </c>
      <c r="H579" s="1">
        <v>0.22</v>
      </c>
      <c r="I579" s="1" t="str">
        <f>IF(Table1[[#This Row],[weekday]]&gt;=6,"weekend","weekday")</f>
        <v>weekday</v>
      </c>
      <c r="J579" s="1" t="str">
        <f>IF(Table1[[#This Row],[weathersit]]=1,"clear sky",IF(Table1[[#This Row],[weathersit]]=2,"Little cloudy",IF(Table1[[#This Row],[weathersit]]=3,"Little Rain",IF(Table1[[#This Row],[weathersit]]=4,"Heavy Rainfoll"," "))))</f>
        <v>Little Rain</v>
      </c>
      <c r="K579" s="1" t="str">
        <f>IF(Table1[[#This Row],[hr]]&lt;12,"Morning",IF(Table1[[#This Row],[hr]]&lt;17,"Afternoon",IF(Table1[[#This Row],[hr]]&lt;21,"Evening","Night")))</f>
        <v>Morning</v>
      </c>
    </row>
    <row r="580" spans="1:11" x14ac:dyDescent="0.2">
      <c r="A580" s="1">
        <v>579</v>
      </c>
      <c r="B580" s="3">
        <v>40569</v>
      </c>
      <c r="C580" s="1">
        <v>1</v>
      </c>
      <c r="D580" s="1">
        <v>9</v>
      </c>
      <c r="E580" s="1" t="b">
        <v>0</v>
      </c>
      <c r="F580" s="1">
        <v>3</v>
      </c>
      <c r="G580" s="1">
        <v>3</v>
      </c>
      <c r="H580" s="1">
        <v>0.22</v>
      </c>
      <c r="I580" s="1" t="str">
        <f>IF(Table1[[#This Row],[weekday]]&gt;=6,"weekend","weekday")</f>
        <v>weekday</v>
      </c>
      <c r="J580" s="1" t="str">
        <f>IF(Table1[[#This Row],[weathersit]]=1,"clear sky",IF(Table1[[#This Row],[weathersit]]=2,"Little cloudy",IF(Table1[[#This Row],[weathersit]]=3,"Little Rain",IF(Table1[[#This Row],[weathersit]]=4,"Heavy Rainfoll"," "))))</f>
        <v>Little Rain</v>
      </c>
      <c r="K580" s="1" t="str">
        <f>IF(Table1[[#This Row],[hr]]&lt;12,"Morning",IF(Table1[[#This Row],[hr]]&lt;17,"Afternoon",IF(Table1[[#This Row],[hr]]&lt;21,"Evening","Night")))</f>
        <v>Morning</v>
      </c>
    </row>
    <row r="581" spans="1:11" x14ac:dyDescent="0.2">
      <c r="A581" s="1">
        <v>580</v>
      </c>
      <c r="B581" s="3">
        <v>40569</v>
      </c>
      <c r="C581" s="1">
        <v>1</v>
      </c>
      <c r="D581" s="1">
        <v>10</v>
      </c>
      <c r="E581" s="1" t="b">
        <v>0</v>
      </c>
      <c r="F581" s="1">
        <v>3</v>
      </c>
      <c r="G581" s="1">
        <v>3</v>
      </c>
      <c r="H581" s="1">
        <v>0.22</v>
      </c>
      <c r="I581" s="1" t="str">
        <f>IF(Table1[[#This Row],[weekday]]&gt;=6,"weekend","weekday")</f>
        <v>weekday</v>
      </c>
      <c r="J581" s="1" t="str">
        <f>IF(Table1[[#This Row],[weathersit]]=1,"clear sky",IF(Table1[[#This Row],[weathersit]]=2,"Little cloudy",IF(Table1[[#This Row],[weathersit]]=3,"Little Rain",IF(Table1[[#This Row],[weathersit]]=4,"Heavy Rainfoll"," "))))</f>
        <v>Little Rain</v>
      </c>
      <c r="K581" s="1" t="str">
        <f>IF(Table1[[#This Row],[hr]]&lt;12,"Morning",IF(Table1[[#This Row],[hr]]&lt;17,"Afternoon",IF(Table1[[#This Row],[hr]]&lt;21,"Evening","Night")))</f>
        <v>Morning</v>
      </c>
    </row>
    <row r="582" spans="1:11" x14ac:dyDescent="0.2">
      <c r="A582" s="1">
        <v>581</v>
      </c>
      <c r="B582" s="3">
        <v>40569</v>
      </c>
      <c r="C582" s="1">
        <v>1</v>
      </c>
      <c r="D582" s="1">
        <v>11</v>
      </c>
      <c r="E582" s="1" t="b">
        <v>0</v>
      </c>
      <c r="F582" s="1">
        <v>3</v>
      </c>
      <c r="G582" s="1">
        <v>3</v>
      </c>
      <c r="H582" s="1">
        <v>0.22</v>
      </c>
      <c r="I582" s="1" t="str">
        <f>IF(Table1[[#This Row],[weekday]]&gt;=6,"weekend","weekday")</f>
        <v>weekday</v>
      </c>
      <c r="J582" s="1" t="str">
        <f>IF(Table1[[#This Row],[weathersit]]=1,"clear sky",IF(Table1[[#This Row],[weathersit]]=2,"Little cloudy",IF(Table1[[#This Row],[weathersit]]=3,"Little Rain",IF(Table1[[#This Row],[weathersit]]=4,"Heavy Rainfoll"," "))))</f>
        <v>Little Rain</v>
      </c>
      <c r="K582" s="1" t="str">
        <f>IF(Table1[[#This Row],[hr]]&lt;12,"Morning",IF(Table1[[#This Row],[hr]]&lt;17,"Afternoon",IF(Table1[[#This Row],[hr]]&lt;21,"Evening","Night")))</f>
        <v>Morning</v>
      </c>
    </row>
    <row r="583" spans="1:11" x14ac:dyDescent="0.2">
      <c r="A583" s="1">
        <v>582</v>
      </c>
      <c r="B583" s="3">
        <v>40569</v>
      </c>
      <c r="C583" s="1">
        <v>1</v>
      </c>
      <c r="D583" s="1">
        <v>12</v>
      </c>
      <c r="E583" s="1" t="b">
        <v>0</v>
      </c>
      <c r="F583" s="1">
        <v>3</v>
      </c>
      <c r="G583" s="1">
        <v>3</v>
      </c>
      <c r="H583" s="1">
        <v>0.22</v>
      </c>
      <c r="I583" s="1" t="str">
        <f>IF(Table1[[#This Row],[weekday]]&gt;=6,"weekend","weekday")</f>
        <v>weekday</v>
      </c>
      <c r="J583" s="1" t="str">
        <f>IF(Table1[[#This Row],[weathersit]]=1,"clear sky",IF(Table1[[#This Row],[weathersit]]=2,"Little cloudy",IF(Table1[[#This Row],[weathersit]]=3,"Little Rain",IF(Table1[[#This Row],[weathersit]]=4,"Heavy Rainfoll"," "))))</f>
        <v>Little Rain</v>
      </c>
      <c r="K583" s="1" t="str">
        <f>IF(Table1[[#This Row],[hr]]&lt;12,"Morning",IF(Table1[[#This Row],[hr]]&lt;17,"Afternoon",IF(Table1[[#This Row],[hr]]&lt;21,"Evening","Night")))</f>
        <v>Afternoon</v>
      </c>
    </row>
    <row r="584" spans="1:11" x14ac:dyDescent="0.2">
      <c r="A584" s="1">
        <v>583</v>
      </c>
      <c r="B584" s="3">
        <v>40569</v>
      </c>
      <c r="C584" s="1">
        <v>1</v>
      </c>
      <c r="D584" s="1">
        <v>13</v>
      </c>
      <c r="E584" s="1" t="b">
        <v>0</v>
      </c>
      <c r="F584" s="1">
        <v>3</v>
      </c>
      <c r="G584" s="1">
        <v>3</v>
      </c>
      <c r="H584" s="1">
        <v>0.22</v>
      </c>
      <c r="I584" s="1" t="str">
        <f>IF(Table1[[#This Row],[weekday]]&gt;=6,"weekend","weekday")</f>
        <v>weekday</v>
      </c>
      <c r="J584" s="1" t="str">
        <f>IF(Table1[[#This Row],[weathersit]]=1,"clear sky",IF(Table1[[#This Row],[weathersit]]=2,"Little cloudy",IF(Table1[[#This Row],[weathersit]]=3,"Little Rain",IF(Table1[[#This Row],[weathersit]]=4,"Heavy Rainfoll"," "))))</f>
        <v>Little Rain</v>
      </c>
      <c r="K584" s="1" t="str">
        <f>IF(Table1[[#This Row],[hr]]&lt;12,"Morning",IF(Table1[[#This Row],[hr]]&lt;17,"Afternoon",IF(Table1[[#This Row],[hr]]&lt;21,"Evening","Night")))</f>
        <v>Afternoon</v>
      </c>
    </row>
    <row r="585" spans="1:11" x14ac:dyDescent="0.2">
      <c r="A585" s="1">
        <v>584</v>
      </c>
      <c r="B585" s="3">
        <v>40569</v>
      </c>
      <c r="C585" s="1">
        <v>1</v>
      </c>
      <c r="D585" s="1">
        <v>14</v>
      </c>
      <c r="E585" s="1" t="b">
        <v>0</v>
      </c>
      <c r="F585" s="1">
        <v>3</v>
      </c>
      <c r="G585" s="1">
        <v>3</v>
      </c>
      <c r="H585" s="1">
        <v>0.22</v>
      </c>
      <c r="I585" s="1" t="str">
        <f>IF(Table1[[#This Row],[weekday]]&gt;=6,"weekend","weekday")</f>
        <v>weekday</v>
      </c>
      <c r="J585" s="1" t="str">
        <f>IF(Table1[[#This Row],[weathersit]]=1,"clear sky",IF(Table1[[#This Row],[weathersit]]=2,"Little cloudy",IF(Table1[[#This Row],[weathersit]]=3,"Little Rain",IF(Table1[[#This Row],[weathersit]]=4,"Heavy Rainfoll"," "))))</f>
        <v>Little Rain</v>
      </c>
      <c r="K585" s="1" t="str">
        <f>IF(Table1[[#This Row],[hr]]&lt;12,"Morning",IF(Table1[[#This Row],[hr]]&lt;17,"Afternoon",IF(Table1[[#This Row],[hr]]&lt;21,"Evening","Night")))</f>
        <v>Afternoon</v>
      </c>
    </row>
    <row r="586" spans="1:11" x14ac:dyDescent="0.2">
      <c r="A586" s="1">
        <v>585</v>
      </c>
      <c r="B586" s="3">
        <v>40569</v>
      </c>
      <c r="C586" s="1">
        <v>1</v>
      </c>
      <c r="D586" s="1">
        <v>15</v>
      </c>
      <c r="E586" s="1" t="b">
        <v>0</v>
      </c>
      <c r="F586" s="1">
        <v>3</v>
      </c>
      <c r="G586" s="1">
        <v>3</v>
      </c>
      <c r="H586" s="1">
        <v>0.22</v>
      </c>
      <c r="I586" s="1" t="str">
        <f>IF(Table1[[#This Row],[weekday]]&gt;=6,"weekend","weekday")</f>
        <v>weekday</v>
      </c>
      <c r="J586" s="1" t="str">
        <f>IF(Table1[[#This Row],[weathersit]]=1,"clear sky",IF(Table1[[#This Row],[weathersit]]=2,"Little cloudy",IF(Table1[[#This Row],[weathersit]]=3,"Little Rain",IF(Table1[[#This Row],[weathersit]]=4,"Heavy Rainfoll"," "))))</f>
        <v>Little Rain</v>
      </c>
      <c r="K586" s="1" t="str">
        <f>IF(Table1[[#This Row],[hr]]&lt;12,"Morning",IF(Table1[[#This Row],[hr]]&lt;17,"Afternoon",IF(Table1[[#This Row],[hr]]&lt;21,"Evening","Night")))</f>
        <v>Afternoon</v>
      </c>
    </row>
    <row r="587" spans="1:11" x14ac:dyDescent="0.2">
      <c r="A587" s="1">
        <v>586</v>
      </c>
      <c r="B587" s="3">
        <v>40569</v>
      </c>
      <c r="C587" s="1">
        <v>1</v>
      </c>
      <c r="D587" s="1">
        <v>16</v>
      </c>
      <c r="E587" s="1" t="b">
        <v>0</v>
      </c>
      <c r="F587" s="1">
        <v>3</v>
      </c>
      <c r="G587" s="1">
        <v>4</v>
      </c>
      <c r="H587" s="1">
        <v>0.22</v>
      </c>
      <c r="I587" s="1" t="str">
        <f>IF(Table1[[#This Row],[weekday]]&gt;=6,"weekend","weekday")</f>
        <v>weekday</v>
      </c>
      <c r="J587" s="1" t="str">
        <f>IF(Table1[[#This Row],[weathersit]]=1,"clear sky",IF(Table1[[#This Row],[weathersit]]=2,"Little cloudy",IF(Table1[[#This Row],[weathersit]]=3,"Little Rain",IF(Table1[[#This Row],[weathersit]]=4,"Heavy Rainfoll"," "))))</f>
        <v>Heavy Rainfoll</v>
      </c>
      <c r="K587" s="1" t="str">
        <f>IF(Table1[[#This Row],[hr]]&lt;12,"Morning",IF(Table1[[#This Row],[hr]]&lt;17,"Afternoon",IF(Table1[[#This Row],[hr]]&lt;21,"Evening","Night")))</f>
        <v>Afternoon</v>
      </c>
    </row>
    <row r="588" spans="1:11" x14ac:dyDescent="0.2">
      <c r="A588" s="1">
        <v>587</v>
      </c>
      <c r="B588" s="3">
        <v>40569</v>
      </c>
      <c r="C588" s="1">
        <v>1</v>
      </c>
      <c r="D588" s="1">
        <v>17</v>
      </c>
      <c r="E588" s="1" t="b">
        <v>0</v>
      </c>
      <c r="F588" s="1">
        <v>3</v>
      </c>
      <c r="G588" s="1">
        <v>3</v>
      </c>
      <c r="H588" s="1">
        <v>0.2</v>
      </c>
      <c r="I588" s="1" t="str">
        <f>IF(Table1[[#This Row],[weekday]]&gt;=6,"weekend","weekday")</f>
        <v>weekday</v>
      </c>
      <c r="J588" s="1" t="str">
        <f>IF(Table1[[#This Row],[weathersit]]=1,"clear sky",IF(Table1[[#This Row],[weathersit]]=2,"Little cloudy",IF(Table1[[#This Row],[weathersit]]=3,"Little Rain",IF(Table1[[#This Row],[weathersit]]=4,"Heavy Rainfoll"," "))))</f>
        <v>Little Rain</v>
      </c>
      <c r="K588" s="1" t="str">
        <f>IF(Table1[[#This Row],[hr]]&lt;12,"Morning",IF(Table1[[#This Row],[hr]]&lt;17,"Afternoon",IF(Table1[[#This Row],[hr]]&lt;21,"Evening","Night")))</f>
        <v>Evening</v>
      </c>
    </row>
    <row r="589" spans="1:11" x14ac:dyDescent="0.2">
      <c r="A589" s="1">
        <v>588</v>
      </c>
      <c r="B589" s="3">
        <v>40570</v>
      </c>
      <c r="C589" s="1">
        <v>1</v>
      </c>
      <c r="D589" s="1">
        <v>16</v>
      </c>
      <c r="E589" s="1" t="b">
        <v>0</v>
      </c>
      <c r="F589" s="1">
        <v>4</v>
      </c>
      <c r="G589" s="1">
        <v>1</v>
      </c>
      <c r="H589" s="1">
        <v>0.22</v>
      </c>
      <c r="I589" s="1" t="str">
        <f>IF(Table1[[#This Row],[weekday]]&gt;=6,"weekend","weekday")</f>
        <v>weekday</v>
      </c>
      <c r="J589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589" s="1" t="str">
        <f>IF(Table1[[#This Row],[hr]]&lt;12,"Morning",IF(Table1[[#This Row],[hr]]&lt;17,"Afternoon",IF(Table1[[#This Row],[hr]]&lt;21,"Evening","Night")))</f>
        <v>Afternoon</v>
      </c>
    </row>
    <row r="590" spans="1:11" x14ac:dyDescent="0.2">
      <c r="A590" s="1">
        <v>589</v>
      </c>
      <c r="B590" s="3">
        <v>40570</v>
      </c>
      <c r="C590" s="1">
        <v>1</v>
      </c>
      <c r="D590" s="1">
        <v>17</v>
      </c>
      <c r="E590" s="1" t="b">
        <v>0</v>
      </c>
      <c r="F590" s="1">
        <v>4</v>
      </c>
      <c r="G590" s="1">
        <v>1</v>
      </c>
      <c r="H590" s="1">
        <v>0.22</v>
      </c>
      <c r="I590" s="1" t="str">
        <f>IF(Table1[[#This Row],[weekday]]&gt;=6,"weekend","weekday")</f>
        <v>weekday</v>
      </c>
      <c r="J590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590" s="1" t="str">
        <f>IF(Table1[[#This Row],[hr]]&lt;12,"Morning",IF(Table1[[#This Row],[hr]]&lt;17,"Afternoon",IF(Table1[[#This Row],[hr]]&lt;21,"Evening","Night")))</f>
        <v>Evening</v>
      </c>
    </row>
    <row r="591" spans="1:11" x14ac:dyDescent="0.2">
      <c r="A591" s="1">
        <v>590</v>
      </c>
      <c r="B591" s="3">
        <v>40570</v>
      </c>
      <c r="C591" s="1">
        <v>1</v>
      </c>
      <c r="D591" s="1">
        <v>18</v>
      </c>
      <c r="E591" s="1" t="b">
        <v>0</v>
      </c>
      <c r="F591" s="1">
        <v>4</v>
      </c>
      <c r="G591" s="1">
        <v>1</v>
      </c>
      <c r="H591" s="1">
        <v>0.2</v>
      </c>
      <c r="I591" s="1" t="str">
        <f>IF(Table1[[#This Row],[weekday]]&gt;=6,"weekend","weekday")</f>
        <v>weekday</v>
      </c>
      <c r="J591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591" s="1" t="str">
        <f>IF(Table1[[#This Row],[hr]]&lt;12,"Morning",IF(Table1[[#This Row],[hr]]&lt;17,"Afternoon",IF(Table1[[#This Row],[hr]]&lt;21,"Evening","Night")))</f>
        <v>Evening</v>
      </c>
    </row>
    <row r="592" spans="1:11" x14ac:dyDescent="0.2">
      <c r="A592" s="1">
        <v>591</v>
      </c>
      <c r="B592" s="3">
        <v>40570</v>
      </c>
      <c r="C592" s="1">
        <v>1</v>
      </c>
      <c r="D592" s="1">
        <v>19</v>
      </c>
      <c r="E592" s="1" t="b">
        <v>0</v>
      </c>
      <c r="F592" s="1">
        <v>4</v>
      </c>
      <c r="G592" s="1">
        <v>1</v>
      </c>
      <c r="H592" s="1">
        <v>0.2</v>
      </c>
      <c r="I592" s="1" t="str">
        <f>IF(Table1[[#This Row],[weekday]]&gt;=6,"weekend","weekday")</f>
        <v>weekday</v>
      </c>
      <c r="J592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592" s="1" t="str">
        <f>IF(Table1[[#This Row],[hr]]&lt;12,"Morning",IF(Table1[[#This Row],[hr]]&lt;17,"Afternoon",IF(Table1[[#This Row],[hr]]&lt;21,"Evening","Night")))</f>
        <v>Evening</v>
      </c>
    </row>
    <row r="593" spans="1:11" x14ac:dyDescent="0.2">
      <c r="A593" s="1">
        <v>592</v>
      </c>
      <c r="B593" s="3">
        <v>40570</v>
      </c>
      <c r="C593" s="1">
        <v>1</v>
      </c>
      <c r="D593" s="1">
        <v>20</v>
      </c>
      <c r="E593" s="1" t="b">
        <v>0</v>
      </c>
      <c r="F593" s="1">
        <v>4</v>
      </c>
      <c r="G593" s="1">
        <v>1</v>
      </c>
      <c r="H593" s="1">
        <v>0.18</v>
      </c>
      <c r="I593" s="1" t="str">
        <f>IF(Table1[[#This Row],[weekday]]&gt;=6,"weekend","weekday")</f>
        <v>weekday</v>
      </c>
      <c r="J593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593" s="1" t="str">
        <f>IF(Table1[[#This Row],[hr]]&lt;12,"Morning",IF(Table1[[#This Row],[hr]]&lt;17,"Afternoon",IF(Table1[[#This Row],[hr]]&lt;21,"Evening","Night")))</f>
        <v>Evening</v>
      </c>
    </row>
    <row r="594" spans="1:11" x14ac:dyDescent="0.2">
      <c r="A594" s="1">
        <v>593</v>
      </c>
      <c r="B594" s="3">
        <v>40570</v>
      </c>
      <c r="C594" s="1">
        <v>1</v>
      </c>
      <c r="D594" s="1">
        <v>21</v>
      </c>
      <c r="E594" s="1" t="b">
        <v>0</v>
      </c>
      <c r="F594" s="1">
        <v>4</v>
      </c>
      <c r="G594" s="1">
        <v>1</v>
      </c>
      <c r="H594" s="1">
        <v>0.18</v>
      </c>
      <c r="I594" s="1" t="str">
        <f>IF(Table1[[#This Row],[weekday]]&gt;=6,"weekend","weekday")</f>
        <v>weekday</v>
      </c>
      <c r="J594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594" s="1" t="str">
        <f>IF(Table1[[#This Row],[hr]]&lt;12,"Morning",IF(Table1[[#This Row],[hr]]&lt;17,"Afternoon",IF(Table1[[#This Row],[hr]]&lt;21,"Evening","Night")))</f>
        <v>Night</v>
      </c>
    </row>
    <row r="595" spans="1:11" x14ac:dyDescent="0.2">
      <c r="A595" s="1">
        <v>594</v>
      </c>
      <c r="B595" s="3">
        <v>40570</v>
      </c>
      <c r="C595" s="1">
        <v>1</v>
      </c>
      <c r="D595" s="1">
        <v>22</v>
      </c>
      <c r="E595" s="1" t="b">
        <v>0</v>
      </c>
      <c r="F595" s="1">
        <v>4</v>
      </c>
      <c r="G595" s="1">
        <v>1</v>
      </c>
      <c r="H595" s="1">
        <v>0.18</v>
      </c>
      <c r="I595" s="1" t="str">
        <f>IF(Table1[[#This Row],[weekday]]&gt;=6,"weekend","weekday")</f>
        <v>weekday</v>
      </c>
      <c r="J595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595" s="1" t="str">
        <f>IF(Table1[[#This Row],[hr]]&lt;12,"Morning",IF(Table1[[#This Row],[hr]]&lt;17,"Afternoon",IF(Table1[[#This Row],[hr]]&lt;21,"Evening","Night")))</f>
        <v>Night</v>
      </c>
    </row>
    <row r="596" spans="1:11" x14ac:dyDescent="0.2">
      <c r="A596" s="1">
        <v>595</v>
      </c>
      <c r="B596" s="3">
        <v>40570</v>
      </c>
      <c r="C596" s="1">
        <v>1</v>
      </c>
      <c r="D596" s="1">
        <v>23</v>
      </c>
      <c r="E596" s="1" t="b">
        <v>0</v>
      </c>
      <c r="F596" s="1">
        <v>4</v>
      </c>
      <c r="G596" s="1">
        <v>1</v>
      </c>
      <c r="H596" s="1">
        <v>0.18</v>
      </c>
      <c r="I596" s="1" t="str">
        <f>IF(Table1[[#This Row],[weekday]]&gt;=6,"weekend","weekday")</f>
        <v>weekday</v>
      </c>
      <c r="J596" s="1" t="str">
        <f>IF(Table1[[#This Row],[weathersit]]=1,"clear sky",IF(Table1[[#This Row],[weathersit]]=2,"Little cloudy",IF(Table1[[#This Row],[weathersit]]=3,"Little Rain",IF(Table1[[#This Row],[weathersit]]=4,"Heavy Rainfoll"," "))))</f>
        <v>clear sky</v>
      </c>
      <c r="K596" s="1" t="str">
        <f>IF(Table1[[#This Row],[hr]]&lt;12,"Morning",IF(Table1[[#This Row],[hr]]&lt;17,"Afternoon",IF(Table1[[#This Row],[hr]]&lt;21,"Evening","Night")))</f>
        <v>Night</v>
      </c>
    </row>
    <row r="597" spans="1:11" x14ac:dyDescent="0.2">
      <c r="A597" s="1">
        <v>596</v>
      </c>
      <c r="B597" s="3">
        <v>40571</v>
      </c>
      <c r="C597" s="1">
        <v>1</v>
      </c>
      <c r="D597" s="1">
        <v>0</v>
      </c>
      <c r="E597" s="1" t="b">
        <v>0</v>
      </c>
      <c r="F597" s="1">
        <v>5</v>
      </c>
      <c r="G597" s="1">
        <v>2</v>
      </c>
      <c r="H597" s="1">
        <v>0.2</v>
      </c>
      <c r="I597" s="1" t="str">
        <f>IF(Table1[[#This Row],[weekday]]&gt;=6,"weekend","weekday")</f>
        <v>weekday</v>
      </c>
      <c r="J597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597" s="1" t="str">
        <f>IF(Table1[[#This Row],[hr]]&lt;12,"Morning",IF(Table1[[#This Row],[hr]]&lt;17,"Afternoon",IF(Table1[[#This Row],[hr]]&lt;21,"Evening","Night")))</f>
        <v>Morning</v>
      </c>
    </row>
    <row r="598" spans="1:11" x14ac:dyDescent="0.2">
      <c r="A598" s="1">
        <v>597</v>
      </c>
      <c r="B598" s="3">
        <v>40571</v>
      </c>
      <c r="C598" s="1">
        <v>1</v>
      </c>
      <c r="D598" s="1">
        <v>1</v>
      </c>
      <c r="E598" s="1" t="b">
        <v>0</v>
      </c>
      <c r="F598" s="1">
        <v>5</v>
      </c>
      <c r="G598" s="1">
        <v>2</v>
      </c>
      <c r="H598" s="1">
        <v>0.2</v>
      </c>
      <c r="I598" s="1" t="str">
        <f>IF(Table1[[#This Row],[weekday]]&gt;=6,"weekend","weekday")</f>
        <v>weekday</v>
      </c>
      <c r="J598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598" s="1" t="str">
        <f>IF(Table1[[#This Row],[hr]]&lt;12,"Morning",IF(Table1[[#This Row],[hr]]&lt;17,"Afternoon",IF(Table1[[#This Row],[hr]]&lt;21,"Evening","Night")))</f>
        <v>Morning</v>
      </c>
    </row>
    <row r="599" spans="1:11" x14ac:dyDescent="0.2">
      <c r="A599" s="1">
        <v>598</v>
      </c>
      <c r="B599" s="3">
        <v>40571</v>
      </c>
      <c r="C599" s="1">
        <v>1</v>
      </c>
      <c r="D599" s="1">
        <v>2</v>
      </c>
      <c r="E599" s="1" t="b">
        <v>0</v>
      </c>
      <c r="F599" s="1">
        <v>5</v>
      </c>
      <c r="G599" s="1">
        <v>2</v>
      </c>
      <c r="H599" s="1">
        <v>0.2</v>
      </c>
      <c r="I599" s="1" t="str">
        <f>IF(Table1[[#This Row],[weekday]]&gt;=6,"weekend","weekday")</f>
        <v>weekday</v>
      </c>
      <c r="J599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599" s="1" t="str">
        <f>IF(Table1[[#This Row],[hr]]&lt;12,"Morning",IF(Table1[[#This Row],[hr]]&lt;17,"Afternoon",IF(Table1[[#This Row],[hr]]&lt;21,"Evening","Night")))</f>
        <v>Morning</v>
      </c>
    </row>
    <row r="600" spans="1:11" x14ac:dyDescent="0.2">
      <c r="A600" s="1">
        <v>599</v>
      </c>
      <c r="B600" s="3">
        <v>40571</v>
      </c>
      <c r="C600" s="1">
        <v>1</v>
      </c>
      <c r="D600" s="1">
        <v>3</v>
      </c>
      <c r="E600" s="1" t="b">
        <v>0</v>
      </c>
      <c r="F600" s="1">
        <v>5</v>
      </c>
      <c r="G600" s="1">
        <v>2</v>
      </c>
      <c r="H600" s="1">
        <v>0.2</v>
      </c>
      <c r="I600" s="1" t="str">
        <f>IF(Table1[[#This Row],[weekday]]&gt;=6,"weekend","weekday")</f>
        <v>weekday</v>
      </c>
      <c r="J600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600" s="1" t="str">
        <f>IF(Table1[[#This Row],[hr]]&lt;12,"Morning",IF(Table1[[#This Row],[hr]]&lt;17,"Afternoon",IF(Table1[[#This Row],[hr]]&lt;21,"Evening","Night")))</f>
        <v>Morning</v>
      </c>
    </row>
    <row r="601" spans="1:11" x14ac:dyDescent="0.2">
      <c r="A601" s="1">
        <v>600</v>
      </c>
      <c r="B601" s="3">
        <v>40571</v>
      </c>
      <c r="C601" s="1">
        <v>1</v>
      </c>
      <c r="D601" s="1">
        <v>5</v>
      </c>
      <c r="E601" s="1" t="b">
        <v>0</v>
      </c>
      <c r="F601" s="1">
        <v>5</v>
      </c>
      <c r="G601" s="1">
        <v>2</v>
      </c>
      <c r="H601" s="1">
        <v>0.18</v>
      </c>
      <c r="I601" s="1" t="str">
        <f>IF(Table1[[#This Row],[weekday]]&gt;=6,"weekend","weekday")</f>
        <v>weekday</v>
      </c>
      <c r="J601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601" s="1" t="str">
        <f>IF(Table1[[#This Row],[hr]]&lt;12,"Morning",IF(Table1[[#This Row],[hr]]&lt;17,"Afternoon",IF(Table1[[#This Row],[hr]]&lt;21,"Evening","Night")))</f>
        <v>Morning</v>
      </c>
    </row>
    <row r="602" spans="1:11" x14ac:dyDescent="0.2">
      <c r="A602" s="1">
        <v>601</v>
      </c>
      <c r="B602" s="3">
        <v>40571</v>
      </c>
      <c r="C602" s="1">
        <v>1</v>
      </c>
      <c r="D602" s="1">
        <v>6</v>
      </c>
      <c r="E602" s="1" t="b">
        <v>0</v>
      </c>
      <c r="F602" s="1">
        <v>5</v>
      </c>
      <c r="G602" s="1">
        <v>2</v>
      </c>
      <c r="H602" s="1">
        <v>0.18</v>
      </c>
      <c r="I602" s="1" t="str">
        <f>IF(Table1[[#This Row],[weekday]]&gt;=6,"weekend","weekday")</f>
        <v>weekday</v>
      </c>
      <c r="J602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602" s="1" t="str">
        <f>IF(Table1[[#This Row],[hr]]&lt;12,"Morning",IF(Table1[[#This Row],[hr]]&lt;17,"Afternoon",IF(Table1[[#This Row],[hr]]&lt;21,"Evening","Night")))</f>
        <v>Morning</v>
      </c>
    </row>
    <row r="603" spans="1:11" x14ac:dyDescent="0.2">
      <c r="A603" s="1">
        <v>602</v>
      </c>
      <c r="B603" s="3">
        <v>40571</v>
      </c>
      <c r="C603" s="1">
        <v>1</v>
      </c>
      <c r="D603" s="1">
        <v>7</v>
      </c>
      <c r="E603" s="1" t="b">
        <v>0</v>
      </c>
      <c r="F603" s="1">
        <v>5</v>
      </c>
      <c r="G603" s="1">
        <v>2</v>
      </c>
      <c r="H603" s="1">
        <v>0.16</v>
      </c>
      <c r="I603" s="1" t="str">
        <f>IF(Table1[[#This Row],[weekday]]&gt;=6,"weekend","weekday")</f>
        <v>weekday</v>
      </c>
      <c r="J603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603" s="1" t="str">
        <f>IF(Table1[[#This Row],[hr]]&lt;12,"Morning",IF(Table1[[#This Row],[hr]]&lt;17,"Afternoon",IF(Table1[[#This Row],[hr]]&lt;21,"Evening","Night")))</f>
        <v>Morning</v>
      </c>
    </row>
    <row r="604" spans="1:11" x14ac:dyDescent="0.2">
      <c r="A604" s="1">
        <v>603</v>
      </c>
      <c r="B604" s="3">
        <v>40571</v>
      </c>
      <c r="C604" s="1">
        <v>1</v>
      </c>
      <c r="D604" s="1">
        <v>8</v>
      </c>
      <c r="E604" s="1" t="b">
        <v>0</v>
      </c>
      <c r="F604" s="1">
        <v>5</v>
      </c>
      <c r="G604" s="1">
        <v>2</v>
      </c>
      <c r="H604" s="1">
        <v>0.16</v>
      </c>
      <c r="I604" s="1" t="str">
        <f>IF(Table1[[#This Row],[weekday]]&gt;=6,"weekend","weekday")</f>
        <v>weekday</v>
      </c>
      <c r="J604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604" s="1" t="str">
        <f>IF(Table1[[#This Row],[hr]]&lt;12,"Morning",IF(Table1[[#This Row],[hr]]&lt;17,"Afternoon",IF(Table1[[#This Row],[hr]]&lt;21,"Evening","Night")))</f>
        <v>Morning</v>
      </c>
    </row>
    <row r="605" spans="1:11" x14ac:dyDescent="0.2">
      <c r="A605" s="1">
        <v>604</v>
      </c>
      <c r="B605" s="3">
        <v>40571</v>
      </c>
      <c r="C605" s="1">
        <v>1</v>
      </c>
      <c r="D605" s="1">
        <v>9</v>
      </c>
      <c r="E605" s="1" t="b">
        <v>0</v>
      </c>
      <c r="F605" s="1">
        <v>5</v>
      </c>
      <c r="G605" s="1">
        <v>3</v>
      </c>
      <c r="H605" s="1">
        <v>0.18</v>
      </c>
      <c r="I605" s="1" t="str">
        <f>IF(Table1[[#This Row],[weekday]]&gt;=6,"weekend","weekday")</f>
        <v>weekday</v>
      </c>
      <c r="J605" s="1" t="str">
        <f>IF(Table1[[#This Row],[weathersit]]=1,"clear sky",IF(Table1[[#This Row],[weathersit]]=2,"Little cloudy",IF(Table1[[#This Row],[weathersit]]=3,"Little Rain",IF(Table1[[#This Row],[weathersit]]=4,"Heavy Rainfoll"," "))))</f>
        <v>Little Rain</v>
      </c>
      <c r="K605" s="1" t="str">
        <f>IF(Table1[[#This Row],[hr]]&lt;12,"Morning",IF(Table1[[#This Row],[hr]]&lt;17,"Afternoon",IF(Table1[[#This Row],[hr]]&lt;21,"Evening","Night")))</f>
        <v>Morning</v>
      </c>
    </row>
    <row r="606" spans="1:11" x14ac:dyDescent="0.2">
      <c r="A606" s="1">
        <v>605</v>
      </c>
      <c r="B606" s="3">
        <v>40571</v>
      </c>
      <c r="C606" s="1">
        <v>1</v>
      </c>
      <c r="D606" s="1">
        <v>10</v>
      </c>
      <c r="E606" s="1" t="b">
        <v>0</v>
      </c>
      <c r="F606" s="1">
        <v>5</v>
      </c>
      <c r="G606" s="1">
        <v>3</v>
      </c>
      <c r="H606" s="1">
        <v>0.18</v>
      </c>
      <c r="I606" s="1" t="str">
        <f>IF(Table1[[#This Row],[weekday]]&gt;=6,"weekend","weekday")</f>
        <v>weekday</v>
      </c>
      <c r="J606" s="1" t="str">
        <f>IF(Table1[[#This Row],[weathersit]]=1,"clear sky",IF(Table1[[#This Row],[weathersit]]=2,"Little cloudy",IF(Table1[[#This Row],[weathersit]]=3,"Little Rain",IF(Table1[[#This Row],[weathersit]]=4,"Heavy Rainfoll"," "))))</f>
        <v>Little Rain</v>
      </c>
      <c r="K606" s="1" t="str">
        <f>IF(Table1[[#This Row],[hr]]&lt;12,"Morning",IF(Table1[[#This Row],[hr]]&lt;17,"Afternoon",IF(Table1[[#This Row],[hr]]&lt;21,"Evening","Night")))</f>
        <v>Morning</v>
      </c>
    </row>
    <row r="607" spans="1:11" x14ac:dyDescent="0.2">
      <c r="A607" s="1">
        <v>606</v>
      </c>
      <c r="B607" s="3">
        <v>40571</v>
      </c>
      <c r="C607" s="1">
        <v>1</v>
      </c>
      <c r="D607" s="1">
        <v>11</v>
      </c>
      <c r="E607" s="1" t="b">
        <v>0</v>
      </c>
      <c r="F607" s="1">
        <v>5</v>
      </c>
      <c r="G607" s="1">
        <v>3</v>
      </c>
      <c r="H607" s="1">
        <v>0.18</v>
      </c>
      <c r="I607" s="1" t="str">
        <f>IF(Table1[[#This Row],[weekday]]&gt;=6,"weekend","weekday")</f>
        <v>weekday</v>
      </c>
      <c r="J607" s="1" t="str">
        <f>IF(Table1[[#This Row],[weathersit]]=1,"clear sky",IF(Table1[[#This Row],[weathersit]]=2,"Little cloudy",IF(Table1[[#This Row],[weathersit]]=3,"Little Rain",IF(Table1[[#This Row],[weathersit]]=4,"Heavy Rainfoll"," "))))</f>
        <v>Little Rain</v>
      </c>
      <c r="K607" s="1" t="str">
        <f>IF(Table1[[#This Row],[hr]]&lt;12,"Morning",IF(Table1[[#This Row],[hr]]&lt;17,"Afternoon",IF(Table1[[#This Row],[hr]]&lt;21,"Evening","Night")))</f>
        <v>Morning</v>
      </c>
    </row>
    <row r="608" spans="1:11" x14ac:dyDescent="0.2">
      <c r="A608" s="1">
        <v>607</v>
      </c>
      <c r="B608" s="3">
        <v>40571</v>
      </c>
      <c r="C608" s="1">
        <v>1</v>
      </c>
      <c r="D608" s="1">
        <v>12</v>
      </c>
      <c r="E608" s="1" t="b">
        <v>0</v>
      </c>
      <c r="F608" s="1">
        <v>5</v>
      </c>
      <c r="G608" s="1">
        <v>3</v>
      </c>
      <c r="H608" s="1">
        <v>0.18</v>
      </c>
      <c r="I608" s="1" t="str">
        <f>IF(Table1[[#This Row],[weekday]]&gt;=6,"weekend","weekday")</f>
        <v>weekday</v>
      </c>
      <c r="J608" s="1" t="str">
        <f>IF(Table1[[#This Row],[weathersit]]=1,"clear sky",IF(Table1[[#This Row],[weathersit]]=2,"Little cloudy",IF(Table1[[#This Row],[weathersit]]=3,"Little Rain",IF(Table1[[#This Row],[weathersit]]=4,"Heavy Rainfoll"," "))))</f>
        <v>Little Rain</v>
      </c>
      <c r="K608" s="1" t="str">
        <f>IF(Table1[[#This Row],[hr]]&lt;12,"Morning",IF(Table1[[#This Row],[hr]]&lt;17,"Afternoon",IF(Table1[[#This Row],[hr]]&lt;21,"Evening","Night")))</f>
        <v>Afternoon</v>
      </c>
    </row>
    <row r="609" spans="1:11" x14ac:dyDescent="0.2">
      <c r="A609" s="1">
        <v>608</v>
      </c>
      <c r="B609" s="3">
        <v>40571</v>
      </c>
      <c r="C609" s="1">
        <v>1</v>
      </c>
      <c r="D609" s="1">
        <v>13</v>
      </c>
      <c r="E609" s="1" t="b">
        <v>0</v>
      </c>
      <c r="F609" s="1">
        <v>5</v>
      </c>
      <c r="G609" s="1">
        <v>3</v>
      </c>
      <c r="H609" s="1">
        <v>0.18</v>
      </c>
      <c r="I609" s="1" t="str">
        <f>IF(Table1[[#This Row],[weekday]]&gt;=6,"weekend","weekday")</f>
        <v>weekday</v>
      </c>
      <c r="J609" s="1" t="str">
        <f>IF(Table1[[#This Row],[weathersit]]=1,"clear sky",IF(Table1[[#This Row],[weathersit]]=2,"Little cloudy",IF(Table1[[#This Row],[weathersit]]=3,"Little Rain",IF(Table1[[#This Row],[weathersit]]=4,"Heavy Rainfoll"," "))))</f>
        <v>Little Rain</v>
      </c>
      <c r="K609" s="1" t="str">
        <f>IF(Table1[[#This Row],[hr]]&lt;12,"Morning",IF(Table1[[#This Row],[hr]]&lt;17,"Afternoon",IF(Table1[[#This Row],[hr]]&lt;21,"Evening","Night")))</f>
        <v>Afternoon</v>
      </c>
    </row>
    <row r="610" spans="1:11" x14ac:dyDescent="0.2">
      <c r="A610" s="1">
        <v>609</v>
      </c>
      <c r="B610" s="3">
        <v>40571</v>
      </c>
      <c r="C610" s="1">
        <v>1</v>
      </c>
      <c r="D610" s="1">
        <v>14</v>
      </c>
      <c r="E610" s="1" t="b">
        <v>0</v>
      </c>
      <c r="F610" s="1">
        <v>5</v>
      </c>
      <c r="G610" s="1">
        <v>3</v>
      </c>
      <c r="H610" s="1">
        <v>0.22</v>
      </c>
      <c r="I610" s="1" t="str">
        <f>IF(Table1[[#This Row],[weekday]]&gt;=6,"weekend","weekday")</f>
        <v>weekday</v>
      </c>
      <c r="J610" s="1" t="str">
        <f>IF(Table1[[#This Row],[weathersit]]=1,"clear sky",IF(Table1[[#This Row],[weathersit]]=2,"Little cloudy",IF(Table1[[#This Row],[weathersit]]=3,"Little Rain",IF(Table1[[#This Row],[weathersit]]=4,"Heavy Rainfoll"," "))))</f>
        <v>Little Rain</v>
      </c>
      <c r="K610" s="1" t="str">
        <f>IF(Table1[[#This Row],[hr]]&lt;12,"Morning",IF(Table1[[#This Row],[hr]]&lt;17,"Afternoon",IF(Table1[[#This Row],[hr]]&lt;21,"Evening","Night")))</f>
        <v>Afternoon</v>
      </c>
    </row>
    <row r="611" spans="1:11" x14ac:dyDescent="0.2">
      <c r="A611" s="1">
        <v>610</v>
      </c>
      <c r="B611" s="3">
        <v>40571</v>
      </c>
      <c r="C611" s="1">
        <v>1</v>
      </c>
      <c r="D611" s="1">
        <v>15</v>
      </c>
      <c r="E611" s="1" t="b">
        <v>0</v>
      </c>
      <c r="F611" s="1">
        <v>5</v>
      </c>
      <c r="G611" s="1">
        <v>2</v>
      </c>
      <c r="H611" s="1">
        <v>0.2</v>
      </c>
      <c r="I611" s="1" t="str">
        <f>IF(Table1[[#This Row],[weekday]]&gt;=6,"weekend","weekday")</f>
        <v>weekday</v>
      </c>
      <c r="J611" s="1" t="str">
        <f>IF(Table1[[#This Row],[weathersit]]=1,"clear sky",IF(Table1[[#This Row],[weathersit]]=2,"Little cloudy",IF(Table1[[#This Row],[weathersit]]=3,"Little Rain",IF(Table1[[#This Row],[weathersit]]=4,"Heavy Rainfoll"," "))))</f>
        <v>Little cloudy</v>
      </c>
      <c r="K611" s="1" t="str">
        <f>IF(Table1[[#This Row],[hr]]&lt;12,"Morning",IF(Table1[[#This Row],[hr]]&lt;17,"Afternoon",IF(Table1[[#This Row],[hr]]&lt;21,"Evening","Night")))</f>
        <v>Afternoon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DD57-211B-4A40-91FC-277E3600E337}">
  <dimension ref="A1:H611"/>
  <sheetViews>
    <sheetView topLeftCell="B1" zoomScale="104" workbookViewId="0">
      <selection activeCell="D11" sqref="D11"/>
    </sheetView>
  </sheetViews>
  <sheetFormatPr defaultRowHeight="12.75" x14ac:dyDescent="0.2"/>
  <cols>
    <col min="1" max="1" width="15.85546875" customWidth="1"/>
    <col min="2" max="2" width="14.85546875" customWidth="1"/>
    <col min="3" max="3" width="13" customWidth="1"/>
    <col min="4" max="4" width="16.42578125" customWidth="1"/>
    <col min="5" max="5" width="12.42578125" customWidth="1"/>
    <col min="6" max="7" width="15.140625" customWidth="1"/>
    <col min="8" max="8" width="22.7109375" customWidth="1"/>
  </cols>
  <sheetData>
    <row r="1" spans="1:8" ht="14.25" x14ac:dyDescent="0.2">
      <c r="A1" s="2" t="s">
        <v>0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4" t="s">
        <v>15</v>
      </c>
    </row>
    <row r="2" spans="1:8" ht="14.25" x14ac:dyDescent="0.2">
      <c r="A2" s="2">
        <v>1</v>
      </c>
      <c r="B2" s="2">
        <v>0.28789999999999999</v>
      </c>
      <c r="C2" s="2">
        <v>0.81</v>
      </c>
      <c r="D2" s="2">
        <v>0</v>
      </c>
      <c r="E2" s="2">
        <v>3</v>
      </c>
      <c r="F2" s="2">
        <v>13</v>
      </c>
      <c r="G2" s="2">
        <v>16</v>
      </c>
      <c r="H2" s="4" t="str">
        <f>IF(Table13[[#This Row],[cnt]]&gt;100,"High","Low")</f>
        <v>Low</v>
      </c>
    </row>
    <row r="3" spans="1:8" ht="14.25" x14ac:dyDescent="0.2">
      <c r="A3" s="2">
        <v>2</v>
      </c>
      <c r="B3" s="2">
        <v>0.2727</v>
      </c>
      <c r="C3" s="2">
        <v>0.8</v>
      </c>
      <c r="D3" s="2">
        <v>0</v>
      </c>
      <c r="E3" s="2">
        <v>8</v>
      </c>
      <c r="F3" s="2">
        <v>32</v>
      </c>
      <c r="G3" s="2">
        <v>40</v>
      </c>
      <c r="H3" s="4" t="str">
        <f>IF(Table13[[#This Row],[cnt]]&gt;100,"High","Low")</f>
        <v>Low</v>
      </c>
    </row>
    <row r="4" spans="1:8" ht="14.25" x14ac:dyDescent="0.2">
      <c r="A4" s="2">
        <v>3</v>
      </c>
      <c r="B4" s="2">
        <v>0.2727</v>
      </c>
      <c r="C4" s="2">
        <v>0.8</v>
      </c>
      <c r="D4" s="2">
        <v>0</v>
      </c>
      <c r="E4" s="2">
        <v>5</v>
      </c>
      <c r="F4" s="2">
        <v>27</v>
      </c>
      <c r="G4" s="2">
        <v>32</v>
      </c>
      <c r="H4" s="4" t="str">
        <f>IF(Table13[[#This Row],[cnt]]&gt;100,"High","Low")</f>
        <v>Low</v>
      </c>
    </row>
    <row r="5" spans="1:8" ht="14.25" x14ac:dyDescent="0.2">
      <c r="A5" s="2">
        <v>4</v>
      </c>
      <c r="B5" s="2">
        <v>0.28789999999999999</v>
      </c>
      <c r="C5" s="2">
        <v>0.75</v>
      </c>
      <c r="D5" s="2">
        <v>0</v>
      </c>
      <c r="E5" s="2">
        <v>3</v>
      </c>
      <c r="F5" s="2">
        <v>10</v>
      </c>
      <c r="G5" s="2">
        <v>13</v>
      </c>
      <c r="H5" s="4" t="str">
        <f>IF(Table13[[#This Row],[cnt]]&gt;100,"High","Low")</f>
        <v>Low</v>
      </c>
    </row>
    <row r="6" spans="1:8" ht="14.25" x14ac:dyDescent="0.2">
      <c r="A6" s="2">
        <v>5</v>
      </c>
      <c r="B6" s="2">
        <v>0.28789999999999999</v>
      </c>
      <c r="C6" s="2">
        <v>0.75</v>
      </c>
      <c r="D6" s="2">
        <v>0</v>
      </c>
      <c r="E6" s="2">
        <v>0</v>
      </c>
      <c r="F6" s="2">
        <v>1</v>
      </c>
      <c r="G6" s="2">
        <v>1</v>
      </c>
      <c r="H6" s="4" t="str">
        <f>IF(Table13[[#This Row],[cnt]]&gt;100,"High","Low")</f>
        <v>Low</v>
      </c>
    </row>
    <row r="7" spans="1:8" ht="14.25" x14ac:dyDescent="0.2">
      <c r="A7" s="2">
        <v>6</v>
      </c>
      <c r="B7" s="2">
        <v>0.2576</v>
      </c>
      <c r="C7" s="2">
        <v>0.75</v>
      </c>
      <c r="D7" s="2">
        <v>8.9599999999999999E-2</v>
      </c>
      <c r="E7" s="2">
        <v>0</v>
      </c>
      <c r="F7" s="2">
        <v>1</v>
      </c>
      <c r="G7" s="2">
        <v>1</v>
      </c>
      <c r="H7" s="4" t="str">
        <f>IF(Table13[[#This Row],[cnt]]&gt;100,"High","Low")</f>
        <v>Low</v>
      </c>
    </row>
    <row r="8" spans="1:8" ht="14.25" x14ac:dyDescent="0.2">
      <c r="A8" s="2">
        <v>7</v>
      </c>
      <c r="B8" s="2">
        <v>0.2727</v>
      </c>
      <c r="C8" s="2">
        <v>0.8</v>
      </c>
      <c r="D8" s="2">
        <v>0</v>
      </c>
      <c r="E8" s="2">
        <v>2</v>
      </c>
      <c r="F8" s="2">
        <v>0</v>
      </c>
      <c r="G8" s="2">
        <v>2</v>
      </c>
      <c r="H8" s="4" t="str">
        <f>IF(Table13[[#This Row],[cnt]]&gt;100,"High","Low")</f>
        <v>Low</v>
      </c>
    </row>
    <row r="9" spans="1:8" ht="14.25" x14ac:dyDescent="0.2">
      <c r="A9" s="2">
        <v>8</v>
      </c>
      <c r="B9" s="2">
        <v>0.2576</v>
      </c>
      <c r="C9" s="2">
        <v>0.86</v>
      </c>
      <c r="D9" s="2">
        <v>0</v>
      </c>
      <c r="E9" s="2">
        <v>1</v>
      </c>
      <c r="F9" s="2">
        <v>2</v>
      </c>
      <c r="G9" s="2">
        <v>3</v>
      </c>
      <c r="H9" s="4" t="str">
        <f>IF(Table13[[#This Row],[cnt]]&gt;100,"High","Low")</f>
        <v>Low</v>
      </c>
    </row>
    <row r="10" spans="1:8" ht="14.25" x14ac:dyDescent="0.2">
      <c r="A10" s="2">
        <v>9</v>
      </c>
      <c r="B10" s="2">
        <v>0.19993</v>
      </c>
      <c r="C10" s="2">
        <v>0.75</v>
      </c>
      <c r="D10" s="2">
        <v>0</v>
      </c>
      <c r="E10" s="2">
        <v>1</v>
      </c>
      <c r="F10" s="2">
        <v>7</v>
      </c>
      <c r="G10" s="2">
        <v>8</v>
      </c>
      <c r="H10" s="4" t="str">
        <f>IF(Table13[[#This Row],[cnt]]&gt;100,"High","Low")</f>
        <v>Low</v>
      </c>
    </row>
    <row r="11" spans="1:8" ht="14.25" x14ac:dyDescent="0.2">
      <c r="A11" s="2">
        <v>10</v>
      </c>
      <c r="B11" s="2">
        <v>0.34849999999999998</v>
      </c>
      <c r="C11" s="2">
        <v>0.76</v>
      </c>
      <c r="D11" s="2">
        <v>0</v>
      </c>
      <c r="E11" s="2">
        <v>8</v>
      </c>
      <c r="F11" s="2">
        <v>6</v>
      </c>
      <c r="G11" s="2">
        <v>14</v>
      </c>
      <c r="H11" s="4" t="str">
        <f>IF(Table13[[#This Row],[cnt]]&gt;100,"High","Low")</f>
        <v>Low</v>
      </c>
    </row>
    <row r="12" spans="1:8" ht="14.25" x14ac:dyDescent="0.2">
      <c r="A12" s="2">
        <v>11</v>
      </c>
      <c r="B12" s="2">
        <v>0.39389999999999997</v>
      </c>
      <c r="C12" s="2">
        <v>0.76</v>
      </c>
      <c r="D12" s="2">
        <v>0.25369999999999998</v>
      </c>
      <c r="E12" s="2">
        <v>12</v>
      </c>
      <c r="F12" s="2">
        <v>24</v>
      </c>
      <c r="G12" s="2">
        <v>36</v>
      </c>
      <c r="H12" s="4" t="str">
        <f>IF(Table13[[#This Row],[cnt]]&gt;100,"High","Low")</f>
        <v>Low</v>
      </c>
    </row>
    <row r="13" spans="1:8" ht="14.25" x14ac:dyDescent="0.2">
      <c r="A13" s="2">
        <v>12</v>
      </c>
      <c r="B13" s="2">
        <v>0.33329999999999999</v>
      </c>
      <c r="C13" s="2">
        <v>0.81</v>
      </c>
      <c r="D13" s="2">
        <v>0.28360000000000002</v>
      </c>
      <c r="E13" s="2">
        <v>26</v>
      </c>
      <c r="F13" s="2">
        <v>30</v>
      </c>
      <c r="G13" s="2">
        <v>56</v>
      </c>
      <c r="H13" s="4" t="str">
        <f>IF(Table13[[#This Row],[cnt]]&gt;100,"High","Low")</f>
        <v>Low</v>
      </c>
    </row>
    <row r="14" spans="1:8" ht="14.25" x14ac:dyDescent="0.2">
      <c r="A14" s="2">
        <v>13</v>
      </c>
      <c r="B14" s="2">
        <v>0.42420000000000002</v>
      </c>
      <c r="C14" s="2">
        <v>0.77</v>
      </c>
      <c r="D14" s="2">
        <v>0.28360000000000002</v>
      </c>
      <c r="E14" s="2">
        <v>29</v>
      </c>
      <c r="F14" s="2">
        <v>55</v>
      </c>
      <c r="G14" s="2">
        <v>84</v>
      </c>
      <c r="H14" s="4" t="str">
        <f>IF(Table13[[#This Row],[cnt]]&gt;100,"High","Low")</f>
        <v>Low</v>
      </c>
    </row>
    <row r="15" spans="1:8" ht="14.25" x14ac:dyDescent="0.2">
      <c r="A15" s="2">
        <v>14</v>
      </c>
      <c r="B15" s="2">
        <v>0.45450000000000002</v>
      </c>
      <c r="C15" s="2">
        <v>0.72</v>
      </c>
      <c r="D15" s="2">
        <v>0.29849999999999999</v>
      </c>
      <c r="E15" s="2">
        <v>47</v>
      </c>
      <c r="F15" s="2">
        <v>47</v>
      </c>
      <c r="G15" s="2">
        <v>94</v>
      </c>
      <c r="H15" s="4" t="str">
        <f>IF(Table13[[#This Row],[cnt]]&gt;100,"High","Low")</f>
        <v>Low</v>
      </c>
    </row>
    <row r="16" spans="1:8" ht="14.25" x14ac:dyDescent="0.2">
      <c r="A16" s="2">
        <v>15</v>
      </c>
      <c r="B16" s="2">
        <v>0.45450000000000002</v>
      </c>
      <c r="C16" s="2">
        <v>0.72</v>
      </c>
      <c r="D16" s="2">
        <v>0.28360000000000002</v>
      </c>
      <c r="E16" s="2">
        <v>35</v>
      </c>
      <c r="F16" s="2">
        <v>71</v>
      </c>
      <c r="G16" s="2">
        <v>106</v>
      </c>
      <c r="H16" s="4" t="str">
        <f>IF(Table13[[#This Row],[cnt]]&gt;100,"High","Low")</f>
        <v>High</v>
      </c>
    </row>
    <row r="17" spans="1:8" ht="14.25" x14ac:dyDescent="0.2">
      <c r="A17" s="2">
        <v>16</v>
      </c>
      <c r="B17" s="2">
        <v>0.43940000000000001</v>
      </c>
      <c r="C17" s="2">
        <v>0.77</v>
      </c>
      <c r="D17" s="2">
        <v>0.29849999999999999</v>
      </c>
      <c r="E17" s="2">
        <v>40</v>
      </c>
      <c r="F17" s="2">
        <v>70</v>
      </c>
      <c r="G17" s="2">
        <v>110</v>
      </c>
      <c r="H17" s="4" t="str">
        <f>IF(Table13[[#This Row],[cnt]]&gt;100,"High","Low")</f>
        <v>High</v>
      </c>
    </row>
    <row r="18" spans="1:8" ht="14.25" x14ac:dyDescent="0.2">
      <c r="A18" s="2">
        <v>17</v>
      </c>
      <c r="B18" s="2">
        <v>0.42420000000000002</v>
      </c>
      <c r="C18" s="2">
        <v>0.82</v>
      </c>
      <c r="D18" s="2">
        <v>0.29849999999999999</v>
      </c>
      <c r="E18" s="2">
        <v>41</v>
      </c>
      <c r="F18" s="2">
        <v>52</v>
      </c>
      <c r="G18" s="2">
        <v>93</v>
      </c>
      <c r="H18" s="4" t="str">
        <f>IF(Table13[[#This Row],[cnt]]&gt;100,"High","Low")</f>
        <v>Low</v>
      </c>
    </row>
    <row r="19" spans="1:8" ht="14.25" x14ac:dyDescent="0.2">
      <c r="A19" s="2">
        <v>18</v>
      </c>
      <c r="B19" s="2">
        <v>0.19993</v>
      </c>
      <c r="C19" s="2">
        <v>0.82</v>
      </c>
      <c r="D19" s="2">
        <v>0.28360000000000002</v>
      </c>
      <c r="E19" s="2">
        <v>15</v>
      </c>
      <c r="F19" s="2">
        <v>52</v>
      </c>
      <c r="G19" s="2">
        <v>67</v>
      </c>
      <c r="H19" s="4" t="str">
        <f>IF(Table13[[#This Row],[cnt]]&gt;100,"High","Low")</f>
        <v>Low</v>
      </c>
    </row>
    <row r="20" spans="1:8" ht="14.25" x14ac:dyDescent="0.2">
      <c r="A20" s="2">
        <v>19</v>
      </c>
      <c r="B20" s="2">
        <v>0.42420000000000002</v>
      </c>
      <c r="C20" s="2">
        <v>0.88</v>
      </c>
      <c r="D20" s="2">
        <v>0.25369999999999998</v>
      </c>
      <c r="E20" s="2">
        <v>9</v>
      </c>
      <c r="F20" s="2">
        <v>26</v>
      </c>
      <c r="G20" s="2">
        <v>35</v>
      </c>
      <c r="H20" s="4" t="str">
        <f>IF(Table13[[#This Row],[cnt]]&gt;100,"High","Low")</f>
        <v>Low</v>
      </c>
    </row>
    <row r="21" spans="1:8" ht="14.25" x14ac:dyDescent="0.2">
      <c r="A21" s="2">
        <v>20</v>
      </c>
      <c r="B21" s="2">
        <v>0.42420000000000002</v>
      </c>
      <c r="C21" s="2">
        <v>0.88</v>
      </c>
      <c r="D21" s="2">
        <v>0.25369999999999998</v>
      </c>
      <c r="E21" s="2">
        <v>6</v>
      </c>
      <c r="F21" s="2">
        <v>31</v>
      </c>
      <c r="G21" s="2">
        <v>37</v>
      </c>
      <c r="H21" s="4" t="str">
        <f>IF(Table13[[#This Row],[cnt]]&gt;100,"High","Low")</f>
        <v>Low</v>
      </c>
    </row>
    <row r="22" spans="1:8" ht="14.25" x14ac:dyDescent="0.2">
      <c r="A22" s="2">
        <v>21</v>
      </c>
      <c r="B22" s="2">
        <v>0.40910000000000002</v>
      </c>
      <c r="C22" s="2">
        <v>0.87</v>
      </c>
      <c r="D22" s="2">
        <v>0.25369999999999998</v>
      </c>
      <c r="E22" s="2">
        <v>11</v>
      </c>
      <c r="F22" s="2">
        <v>25</v>
      </c>
      <c r="G22" s="2">
        <v>36</v>
      </c>
      <c r="H22" s="4" t="str">
        <f>IF(Table13[[#This Row],[cnt]]&gt;100,"High","Low")</f>
        <v>Low</v>
      </c>
    </row>
    <row r="23" spans="1:8" ht="14.25" x14ac:dyDescent="0.2">
      <c r="A23" s="2">
        <v>22</v>
      </c>
      <c r="B23" s="2">
        <v>0.40910000000000002</v>
      </c>
      <c r="C23" s="2">
        <v>0.87</v>
      </c>
      <c r="D23" s="2">
        <v>0.19400000000000001</v>
      </c>
      <c r="E23" s="2">
        <v>3</v>
      </c>
      <c r="F23" s="2">
        <v>31</v>
      </c>
      <c r="G23" s="2">
        <v>34</v>
      </c>
      <c r="H23" s="4" t="str">
        <f>IF(Table13[[#This Row],[cnt]]&gt;100,"High","Low")</f>
        <v>Low</v>
      </c>
    </row>
    <row r="24" spans="1:8" ht="14.25" x14ac:dyDescent="0.2">
      <c r="A24" s="2">
        <v>23</v>
      </c>
      <c r="B24" s="2">
        <v>0.40910000000000002</v>
      </c>
      <c r="C24" s="2">
        <v>0.94</v>
      </c>
      <c r="D24" s="2">
        <v>0.22389999999999999</v>
      </c>
      <c r="E24" s="2">
        <v>11</v>
      </c>
      <c r="F24" s="2">
        <v>17</v>
      </c>
      <c r="G24" s="2">
        <v>28</v>
      </c>
      <c r="H24" s="4" t="str">
        <f>IF(Table13[[#This Row],[cnt]]&gt;100,"High","Low")</f>
        <v>Low</v>
      </c>
    </row>
    <row r="25" spans="1:8" ht="14.25" x14ac:dyDescent="0.2">
      <c r="A25" s="2">
        <v>24</v>
      </c>
      <c r="B25" s="2">
        <v>0.19993</v>
      </c>
      <c r="C25" s="2">
        <v>0.88</v>
      </c>
      <c r="D25" s="2">
        <v>0.29849999999999999</v>
      </c>
      <c r="E25" s="2">
        <v>15</v>
      </c>
      <c r="F25" s="2">
        <v>24</v>
      </c>
      <c r="G25" s="2">
        <v>39</v>
      </c>
      <c r="H25" s="4" t="str">
        <f>IF(Table13[[#This Row],[cnt]]&gt;100,"High","Low")</f>
        <v>Low</v>
      </c>
    </row>
    <row r="26" spans="1:8" ht="14.25" x14ac:dyDescent="0.2">
      <c r="A26" s="2">
        <v>25</v>
      </c>
      <c r="B26" s="2">
        <v>0.45450000000000002</v>
      </c>
      <c r="C26" s="2">
        <v>0.88</v>
      </c>
      <c r="D26" s="2">
        <v>0.29849999999999999</v>
      </c>
      <c r="E26" s="2">
        <v>4</v>
      </c>
      <c r="F26" s="2">
        <v>13</v>
      </c>
      <c r="G26" s="2">
        <v>17</v>
      </c>
      <c r="H26" s="4" t="str">
        <f>IF(Table13[[#This Row],[cnt]]&gt;100,"High","Low")</f>
        <v>Low</v>
      </c>
    </row>
    <row r="27" spans="1:8" ht="14.25" x14ac:dyDescent="0.2">
      <c r="A27" s="2">
        <v>26</v>
      </c>
      <c r="B27" s="2">
        <v>0.43940000000000001</v>
      </c>
      <c r="C27" s="2">
        <v>0.94</v>
      </c>
      <c r="D27" s="2">
        <v>0.25369999999999998</v>
      </c>
      <c r="E27" s="2">
        <v>1</v>
      </c>
      <c r="F27" s="2">
        <v>16</v>
      </c>
      <c r="G27" s="2">
        <v>17</v>
      </c>
      <c r="H27" s="4" t="str">
        <f>IF(Table13[[#This Row],[cnt]]&gt;100,"High","Low")</f>
        <v>Low</v>
      </c>
    </row>
    <row r="28" spans="1:8" ht="14.25" x14ac:dyDescent="0.2">
      <c r="A28" s="2">
        <v>27</v>
      </c>
      <c r="B28" s="2">
        <v>0.42420000000000002</v>
      </c>
      <c r="C28" s="2">
        <v>1</v>
      </c>
      <c r="D28" s="2">
        <v>0.28360000000000002</v>
      </c>
      <c r="E28" s="2">
        <v>1</v>
      </c>
      <c r="F28" s="2">
        <v>8</v>
      </c>
      <c r="G28" s="2">
        <v>9</v>
      </c>
      <c r="H28" s="4" t="str">
        <f>IF(Table13[[#This Row],[cnt]]&gt;100,"High","Low")</f>
        <v>Low</v>
      </c>
    </row>
    <row r="29" spans="1:8" ht="14.25" x14ac:dyDescent="0.2">
      <c r="A29" s="2">
        <v>28</v>
      </c>
      <c r="B29" s="2">
        <v>0.45450000000000002</v>
      </c>
      <c r="C29" s="2">
        <v>0.94</v>
      </c>
      <c r="D29" s="2">
        <v>0.19400000000000001</v>
      </c>
      <c r="E29" s="2">
        <v>2</v>
      </c>
      <c r="F29" s="2">
        <v>4</v>
      </c>
      <c r="G29" s="2">
        <v>6</v>
      </c>
      <c r="H29" s="4" t="str">
        <f>IF(Table13[[#This Row],[cnt]]&gt;100,"High","Low")</f>
        <v>Low</v>
      </c>
    </row>
    <row r="30" spans="1:8" ht="14.25" x14ac:dyDescent="0.2">
      <c r="A30" s="2">
        <v>29</v>
      </c>
      <c r="B30" s="2">
        <v>0.19993</v>
      </c>
      <c r="C30" s="2">
        <v>0.94</v>
      </c>
      <c r="D30" s="2">
        <v>0.19400000000000001</v>
      </c>
      <c r="E30" s="2">
        <v>2</v>
      </c>
      <c r="F30" s="2">
        <v>1</v>
      </c>
      <c r="G30" s="2">
        <v>3</v>
      </c>
      <c r="H30" s="4" t="str">
        <f>IF(Table13[[#This Row],[cnt]]&gt;100,"High","Low")</f>
        <v>Low</v>
      </c>
    </row>
    <row r="31" spans="1:8" ht="14.25" x14ac:dyDescent="0.2">
      <c r="A31" s="2">
        <v>30</v>
      </c>
      <c r="B31" s="2">
        <v>0.42420000000000002</v>
      </c>
      <c r="C31" s="2">
        <v>0.77</v>
      </c>
      <c r="D31" s="2">
        <v>0.29849999999999999</v>
      </c>
      <c r="E31" s="2">
        <v>0</v>
      </c>
      <c r="F31" s="2">
        <v>2</v>
      </c>
      <c r="G31" s="2">
        <v>2</v>
      </c>
      <c r="H31" s="4" t="str">
        <f>IF(Table13[[#This Row],[cnt]]&gt;100,"High","Low")</f>
        <v>Low</v>
      </c>
    </row>
    <row r="32" spans="1:8" ht="14.25" x14ac:dyDescent="0.2">
      <c r="A32" s="2">
        <v>31</v>
      </c>
      <c r="B32" s="2">
        <v>0.40910000000000002</v>
      </c>
      <c r="C32" s="2">
        <v>0.76</v>
      </c>
      <c r="D32" s="2">
        <v>0.19400000000000001</v>
      </c>
      <c r="E32" s="2">
        <v>0</v>
      </c>
      <c r="F32" s="2">
        <v>1</v>
      </c>
      <c r="G32" s="2">
        <v>1</v>
      </c>
      <c r="H32" s="4" t="str">
        <f>IF(Table13[[#This Row],[cnt]]&gt;100,"High","Low")</f>
        <v>Low</v>
      </c>
    </row>
    <row r="33" spans="1:8" ht="14.25" x14ac:dyDescent="0.2">
      <c r="A33" s="2">
        <v>32</v>
      </c>
      <c r="B33" s="2">
        <v>0.40910000000000002</v>
      </c>
      <c r="C33" s="2">
        <v>0.71</v>
      </c>
      <c r="D33" s="2">
        <v>0.22389999999999999</v>
      </c>
      <c r="E33" s="2">
        <v>0</v>
      </c>
      <c r="F33" s="2">
        <v>8</v>
      </c>
      <c r="G33" s="2">
        <v>8</v>
      </c>
      <c r="H33" s="4" t="str">
        <f>IF(Table13[[#This Row],[cnt]]&gt;100,"High","Low")</f>
        <v>Low</v>
      </c>
    </row>
    <row r="34" spans="1:8" ht="14.25" x14ac:dyDescent="0.2">
      <c r="A34" s="2">
        <v>33</v>
      </c>
      <c r="B34" s="2">
        <v>0.19993</v>
      </c>
      <c r="C34" s="2">
        <v>0.76</v>
      </c>
      <c r="D34" s="2">
        <v>0.22389999999999999</v>
      </c>
      <c r="E34" s="2">
        <v>1</v>
      </c>
      <c r="F34" s="2">
        <v>19</v>
      </c>
      <c r="G34" s="2">
        <v>20</v>
      </c>
      <c r="H34" s="4" t="str">
        <f>IF(Table13[[#This Row],[cnt]]&gt;100,"High","Low")</f>
        <v>Low</v>
      </c>
    </row>
    <row r="35" spans="1:8" ht="14.25" x14ac:dyDescent="0.2">
      <c r="A35" s="2">
        <v>34</v>
      </c>
      <c r="B35" s="2">
        <v>0.34849999999999998</v>
      </c>
      <c r="C35" s="2">
        <v>0.81</v>
      </c>
      <c r="D35" s="2">
        <v>0.22389999999999999</v>
      </c>
      <c r="E35" s="2">
        <v>7</v>
      </c>
      <c r="F35" s="2">
        <v>46</v>
      </c>
      <c r="G35" s="2">
        <v>53</v>
      </c>
      <c r="H35" s="4" t="str">
        <f>IF(Table13[[#This Row],[cnt]]&gt;100,"High","Low")</f>
        <v>Low</v>
      </c>
    </row>
    <row r="36" spans="1:8" ht="14.25" x14ac:dyDescent="0.2">
      <c r="A36" s="2">
        <v>35</v>
      </c>
      <c r="B36" s="2">
        <v>0.33329999999999999</v>
      </c>
      <c r="C36" s="2">
        <v>0.71</v>
      </c>
      <c r="D36" s="2">
        <v>0.25369999999999998</v>
      </c>
      <c r="E36" s="2">
        <v>16</v>
      </c>
      <c r="F36" s="2">
        <v>54</v>
      </c>
      <c r="G36" s="2">
        <v>70</v>
      </c>
      <c r="H36" s="4" t="str">
        <f>IF(Table13[[#This Row],[cnt]]&gt;100,"High","Low")</f>
        <v>Low</v>
      </c>
    </row>
    <row r="37" spans="1:8" ht="14.25" x14ac:dyDescent="0.2">
      <c r="A37" s="2">
        <v>36</v>
      </c>
      <c r="B37" s="2">
        <v>0.33329999999999999</v>
      </c>
      <c r="C37" s="2">
        <v>0.66</v>
      </c>
      <c r="D37" s="2">
        <v>0.29849999999999999</v>
      </c>
      <c r="E37" s="2">
        <v>20</v>
      </c>
      <c r="F37" s="2">
        <v>73</v>
      </c>
      <c r="G37" s="2">
        <v>93</v>
      </c>
      <c r="H37" s="4" t="str">
        <f>IF(Table13[[#This Row],[cnt]]&gt;100,"High","Low")</f>
        <v>Low</v>
      </c>
    </row>
    <row r="38" spans="1:8" ht="14.25" x14ac:dyDescent="0.2">
      <c r="A38" s="2">
        <v>37</v>
      </c>
      <c r="B38" s="2">
        <v>0.34849999999999998</v>
      </c>
      <c r="C38" s="2">
        <v>0.66</v>
      </c>
      <c r="D38" s="2">
        <v>0.1343</v>
      </c>
      <c r="E38" s="2">
        <v>11</v>
      </c>
      <c r="F38" s="2">
        <v>64</v>
      </c>
      <c r="G38" s="2">
        <v>75</v>
      </c>
      <c r="H38" s="4" t="str">
        <f>IF(Table13[[#This Row],[cnt]]&gt;100,"High","Low")</f>
        <v>Low</v>
      </c>
    </row>
    <row r="39" spans="1:8" ht="14.25" x14ac:dyDescent="0.2">
      <c r="A39" s="2">
        <v>38</v>
      </c>
      <c r="B39" s="2">
        <v>0.19993</v>
      </c>
      <c r="C39" s="2">
        <v>0.76</v>
      </c>
      <c r="D39" s="2">
        <v>0.19400000000000001</v>
      </c>
      <c r="E39" s="2">
        <v>4</v>
      </c>
      <c r="F39" s="2">
        <v>55</v>
      </c>
      <c r="G39" s="2">
        <v>59</v>
      </c>
      <c r="H39" s="4" t="str">
        <f>IF(Table13[[#This Row],[cnt]]&gt;100,"High","Low")</f>
        <v>Low</v>
      </c>
    </row>
    <row r="40" spans="1:8" ht="14.25" x14ac:dyDescent="0.2">
      <c r="A40" s="2">
        <v>39</v>
      </c>
      <c r="B40" s="2">
        <v>0.33329999999999999</v>
      </c>
      <c r="C40" s="2">
        <v>0.81</v>
      </c>
      <c r="D40" s="2">
        <v>0.16420000000000001</v>
      </c>
      <c r="E40" s="2">
        <v>19</v>
      </c>
      <c r="F40" s="2">
        <v>55</v>
      </c>
      <c r="G40" s="2">
        <v>74</v>
      </c>
      <c r="H40" s="4" t="str">
        <f>IF(Table13[[#This Row],[cnt]]&gt;100,"High","Low")</f>
        <v>Low</v>
      </c>
    </row>
    <row r="41" spans="1:8" ht="14.25" x14ac:dyDescent="0.2">
      <c r="A41" s="2">
        <v>40</v>
      </c>
      <c r="B41" s="2">
        <v>0.33329999999999999</v>
      </c>
      <c r="C41" s="2">
        <v>0.71</v>
      </c>
      <c r="D41" s="2">
        <v>0.16420000000000001</v>
      </c>
      <c r="E41" s="2">
        <v>9</v>
      </c>
      <c r="F41" s="2">
        <v>67</v>
      </c>
      <c r="G41" s="2">
        <v>76</v>
      </c>
      <c r="H41" s="4" t="str">
        <f>IF(Table13[[#This Row],[cnt]]&gt;100,"High","Low")</f>
        <v>Low</v>
      </c>
    </row>
    <row r="42" spans="1:8" ht="14.25" x14ac:dyDescent="0.2">
      <c r="A42" s="2">
        <v>41</v>
      </c>
      <c r="B42" s="2">
        <v>0.33329999999999999</v>
      </c>
      <c r="C42" s="2">
        <v>0.56999999999999995</v>
      </c>
      <c r="D42" s="2">
        <v>0.19400000000000001</v>
      </c>
      <c r="E42" s="2">
        <v>7</v>
      </c>
      <c r="F42" s="2">
        <v>58</v>
      </c>
      <c r="G42" s="2">
        <v>65</v>
      </c>
      <c r="H42" s="4" t="str">
        <f>IF(Table13[[#This Row],[cnt]]&gt;100,"High","Low")</f>
        <v>Low</v>
      </c>
    </row>
    <row r="43" spans="1:8" ht="14.25" x14ac:dyDescent="0.2">
      <c r="A43" s="2">
        <v>42</v>
      </c>
      <c r="B43" s="2">
        <v>0.33329999999999999</v>
      </c>
      <c r="C43" s="2">
        <v>0.46</v>
      </c>
      <c r="D43" s="2">
        <v>0.32840000000000003</v>
      </c>
      <c r="E43" s="2">
        <v>10</v>
      </c>
      <c r="F43" s="2">
        <v>43</v>
      </c>
      <c r="G43" s="2">
        <v>53</v>
      </c>
      <c r="H43" s="4" t="str">
        <f>IF(Table13[[#This Row],[cnt]]&gt;100,"High","Low")</f>
        <v>Low</v>
      </c>
    </row>
    <row r="44" spans="1:8" ht="14.25" x14ac:dyDescent="0.2">
      <c r="A44" s="2">
        <v>43</v>
      </c>
      <c r="B44" s="2">
        <v>0.28789999999999999</v>
      </c>
      <c r="C44" s="2">
        <v>0.42</v>
      </c>
      <c r="D44" s="2">
        <v>0.44779999999999998</v>
      </c>
      <c r="E44" s="2">
        <v>1</v>
      </c>
      <c r="F44" s="2">
        <v>29</v>
      </c>
      <c r="G44" s="2">
        <v>30</v>
      </c>
      <c r="H44" s="4" t="str">
        <f>IF(Table13[[#This Row],[cnt]]&gt;100,"High","Low")</f>
        <v>Low</v>
      </c>
    </row>
    <row r="45" spans="1:8" ht="14.25" x14ac:dyDescent="0.2">
      <c r="A45" s="2">
        <v>44</v>
      </c>
      <c r="B45" s="2">
        <v>0.19993</v>
      </c>
      <c r="C45" s="2">
        <v>0.39</v>
      </c>
      <c r="D45" s="2">
        <v>0.35820000000000002</v>
      </c>
      <c r="E45" s="2">
        <v>5</v>
      </c>
      <c r="F45" s="2">
        <v>17</v>
      </c>
      <c r="G45" s="2">
        <v>22</v>
      </c>
      <c r="H45" s="4" t="str">
        <f>IF(Table13[[#This Row],[cnt]]&gt;100,"High","Low")</f>
        <v>Low</v>
      </c>
    </row>
    <row r="46" spans="1:8" ht="14.25" x14ac:dyDescent="0.2">
      <c r="A46" s="2">
        <v>45</v>
      </c>
      <c r="B46" s="2">
        <v>0.2273</v>
      </c>
      <c r="C46" s="2">
        <v>0.44</v>
      </c>
      <c r="D46" s="2">
        <v>0.32840000000000003</v>
      </c>
      <c r="E46" s="2">
        <v>11</v>
      </c>
      <c r="F46" s="2">
        <v>20</v>
      </c>
      <c r="G46" s="2">
        <v>31</v>
      </c>
      <c r="H46" s="4" t="str">
        <f>IF(Table13[[#This Row],[cnt]]&gt;100,"High","Low")</f>
        <v>Low</v>
      </c>
    </row>
    <row r="47" spans="1:8" ht="14.25" x14ac:dyDescent="0.2">
      <c r="A47" s="2">
        <v>46</v>
      </c>
      <c r="B47" s="2">
        <v>0.21210000000000001</v>
      </c>
      <c r="C47" s="2">
        <v>0.44</v>
      </c>
      <c r="D47" s="2">
        <v>0.29849999999999999</v>
      </c>
      <c r="E47" s="2">
        <v>0</v>
      </c>
      <c r="F47" s="2">
        <v>9</v>
      </c>
      <c r="G47" s="2">
        <v>9</v>
      </c>
      <c r="H47" s="4" t="str">
        <f>IF(Table13[[#This Row],[cnt]]&gt;100,"High","Low")</f>
        <v>Low</v>
      </c>
    </row>
    <row r="48" spans="1:8" ht="14.25" x14ac:dyDescent="0.2">
      <c r="A48" s="2">
        <v>47</v>
      </c>
      <c r="B48" s="2">
        <v>0.2273</v>
      </c>
      <c r="C48" s="2">
        <v>0.47</v>
      </c>
      <c r="D48" s="2">
        <v>0.16420000000000001</v>
      </c>
      <c r="E48" s="2">
        <v>0</v>
      </c>
      <c r="F48" s="2">
        <v>8</v>
      </c>
      <c r="G48" s="2">
        <v>8</v>
      </c>
      <c r="H48" s="4" t="str">
        <f>IF(Table13[[#This Row],[cnt]]&gt;100,"High","Low")</f>
        <v>Low</v>
      </c>
    </row>
    <row r="49" spans="1:8" ht="14.25" x14ac:dyDescent="0.2">
      <c r="A49" s="2">
        <v>48</v>
      </c>
      <c r="B49" s="2">
        <v>0.19700000000000001</v>
      </c>
      <c r="C49" s="2">
        <v>0.44</v>
      </c>
      <c r="D49" s="2">
        <v>0.35820000000000002</v>
      </c>
      <c r="E49" s="2">
        <v>0</v>
      </c>
      <c r="F49" s="2">
        <v>5</v>
      </c>
      <c r="G49" s="2">
        <v>5</v>
      </c>
      <c r="H49" s="4" t="str">
        <f>IF(Table13[[#This Row],[cnt]]&gt;100,"High","Low")</f>
        <v>Low</v>
      </c>
    </row>
    <row r="50" spans="1:8" ht="14.25" x14ac:dyDescent="0.2">
      <c r="A50" s="2">
        <v>49</v>
      </c>
      <c r="B50" s="2">
        <v>0.19993</v>
      </c>
      <c r="C50" s="2">
        <v>0.44</v>
      </c>
      <c r="D50" s="2">
        <v>0.41789999999999999</v>
      </c>
      <c r="E50" s="2">
        <v>0</v>
      </c>
      <c r="F50" s="2">
        <v>2</v>
      </c>
      <c r="G50" s="2">
        <v>2</v>
      </c>
      <c r="H50" s="4" t="str">
        <f>IF(Table13[[#This Row],[cnt]]&gt;100,"High","Low")</f>
        <v>Low</v>
      </c>
    </row>
    <row r="51" spans="1:8" ht="14.25" x14ac:dyDescent="0.2">
      <c r="A51" s="2">
        <v>50</v>
      </c>
      <c r="B51" s="2">
        <v>0.13639999999999999</v>
      </c>
      <c r="C51" s="2">
        <v>0.47</v>
      </c>
      <c r="D51" s="2">
        <v>0.3881</v>
      </c>
      <c r="E51" s="2">
        <v>0</v>
      </c>
      <c r="F51" s="2">
        <v>1</v>
      </c>
      <c r="G51" s="2">
        <v>1</v>
      </c>
      <c r="H51" s="4" t="str">
        <f>IF(Table13[[#This Row],[cnt]]&gt;100,"High","Low")</f>
        <v>Low</v>
      </c>
    </row>
    <row r="52" spans="1:8" ht="14.25" x14ac:dyDescent="0.2">
      <c r="A52" s="2">
        <v>51</v>
      </c>
      <c r="B52" s="2">
        <v>0.13639999999999999</v>
      </c>
      <c r="C52" s="2">
        <v>0.47</v>
      </c>
      <c r="D52" s="2">
        <v>0.28360000000000002</v>
      </c>
      <c r="E52" s="2">
        <v>0</v>
      </c>
      <c r="F52" s="2">
        <v>3</v>
      </c>
      <c r="G52" s="2">
        <v>3</v>
      </c>
      <c r="H52" s="4" t="str">
        <f>IF(Table13[[#This Row],[cnt]]&gt;100,"High","Low")</f>
        <v>Low</v>
      </c>
    </row>
    <row r="53" spans="1:8" ht="14.25" x14ac:dyDescent="0.2">
      <c r="A53" s="2">
        <v>52</v>
      </c>
      <c r="B53" s="2">
        <v>0.1061</v>
      </c>
      <c r="C53" s="2">
        <v>0.5</v>
      </c>
      <c r="D53" s="2">
        <v>0.3881</v>
      </c>
      <c r="E53" s="2">
        <v>0</v>
      </c>
      <c r="F53" s="2">
        <v>30</v>
      </c>
      <c r="G53" s="2">
        <v>30</v>
      </c>
      <c r="H53" s="4" t="str">
        <f>IF(Table13[[#This Row],[cnt]]&gt;100,"High","Low")</f>
        <v>Low</v>
      </c>
    </row>
    <row r="54" spans="1:8" ht="14.25" x14ac:dyDescent="0.2">
      <c r="A54" s="2">
        <v>53</v>
      </c>
      <c r="B54" s="2">
        <v>0.13639999999999999</v>
      </c>
      <c r="C54" s="2">
        <v>0.5</v>
      </c>
      <c r="D54" s="2">
        <v>0.19400000000000001</v>
      </c>
      <c r="E54" s="2">
        <v>1</v>
      </c>
      <c r="F54" s="2">
        <v>63</v>
      </c>
      <c r="G54" s="2">
        <v>64</v>
      </c>
      <c r="H54" s="4" t="str">
        <f>IF(Table13[[#This Row],[cnt]]&gt;100,"High","Low")</f>
        <v>Low</v>
      </c>
    </row>
    <row r="55" spans="1:8" ht="14.25" x14ac:dyDescent="0.2">
      <c r="A55" s="2">
        <v>54</v>
      </c>
      <c r="B55" s="2">
        <v>0.1212</v>
      </c>
      <c r="C55" s="2">
        <v>0.5</v>
      </c>
      <c r="D55" s="2">
        <v>0.28360000000000002</v>
      </c>
      <c r="E55" s="2">
        <v>1</v>
      </c>
      <c r="F55" s="2">
        <v>153</v>
      </c>
      <c r="G55" s="2">
        <v>154</v>
      </c>
      <c r="H55" s="4" t="str">
        <f>IF(Table13[[#This Row],[cnt]]&gt;100,"High","Low")</f>
        <v>High</v>
      </c>
    </row>
    <row r="56" spans="1:8" ht="14.25" x14ac:dyDescent="0.2">
      <c r="A56" s="2">
        <v>55</v>
      </c>
      <c r="B56" s="2">
        <v>0.13639999999999999</v>
      </c>
      <c r="C56" s="2">
        <v>0.43</v>
      </c>
      <c r="D56" s="2">
        <v>0.3881</v>
      </c>
      <c r="E56" s="2">
        <v>7</v>
      </c>
      <c r="F56" s="2">
        <v>81</v>
      </c>
      <c r="G56" s="2">
        <v>88</v>
      </c>
      <c r="H56" s="4" t="str">
        <f>IF(Table13[[#This Row],[cnt]]&gt;100,"High","Low")</f>
        <v>Low</v>
      </c>
    </row>
    <row r="57" spans="1:8" ht="14.25" x14ac:dyDescent="0.2">
      <c r="A57" s="2">
        <v>56</v>
      </c>
      <c r="B57" s="2">
        <v>0.16669999999999999</v>
      </c>
      <c r="C57" s="2">
        <v>0.43</v>
      </c>
      <c r="D57" s="2">
        <v>0.25369999999999998</v>
      </c>
      <c r="E57" s="2">
        <v>11</v>
      </c>
      <c r="F57" s="2">
        <v>33</v>
      </c>
      <c r="G57" s="2">
        <v>44</v>
      </c>
      <c r="H57" s="4" t="str">
        <f>IF(Table13[[#This Row],[cnt]]&gt;100,"High","Low")</f>
        <v>Low</v>
      </c>
    </row>
    <row r="58" spans="1:8" ht="14.25" x14ac:dyDescent="0.2">
      <c r="A58" s="2">
        <v>57</v>
      </c>
      <c r="B58" s="2">
        <v>0.18179999999999999</v>
      </c>
      <c r="C58" s="2">
        <v>0.4</v>
      </c>
      <c r="D58" s="2">
        <v>0.32840000000000003</v>
      </c>
      <c r="E58" s="2">
        <v>10</v>
      </c>
      <c r="F58" s="2">
        <v>41</v>
      </c>
      <c r="G58" s="2">
        <v>51</v>
      </c>
      <c r="H58" s="4" t="str">
        <f>IF(Table13[[#This Row],[cnt]]&gt;100,"High","Low")</f>
        <v>Low</v>
      </c>
    </row>
    <row r="59" spans="1:8" ht="14.25" x14ac:dyDescent="0.2">
      <c r="A59" s="2">
        <v>58</v>
      </c>
      <c r="B59" s="2">
        <v>0.21210000000000001</v>
      </c>
      <c r="C59" s="2">
        <v>0.35</v>
      </c>
      <c r="D59" s="2">
        <v>0.29849999999999999</v>
      </c>
      <c r="E59" s="2">
        <v>13</v>
      </c>
      <c r="F59" s="2">
        <v>48</v>
      </c>
      <c r="G59" s="2">
        <v>61</v>
      </c>
      <c r="H59" s="4" t="str">
        <f>IF(Table13[[#This Row],[cnt]]&gt;100,"High","Low")</f>
        <v>Low</v>
      </c>
    </row>
    <row r="60" spans="1:8" ht="14.25" x14ac:dyDescent="0.2">
      <c r="A60" s="2">
        <v>59</v>
      </c>
      <c r="B60" s="2">
        <v>0.19993</v>
      </c>
      <c r="C60" s="2">
        <v>0.35</v>
      </c>
      <c r="D60" s="2">
        <v>0.28360000000000002</v>
      </c>
      <c r="E60" s="2">
        <v>8</v>
      </c>
      <c r="F60" s="2">
        <v>53</v>
      </c>
      <c r="G60" s="2">
        <v>61</v>
      </c>
      <c r="H60" s="4" t="str">
        <f>IF(Table13[[#This Row],[cnt]]&gt;100,"High","Low")</f>
        <v>Low</v>
      </c>
    </row>
    <row r="61" spans="1:8" ht="14.25" x14ac:dyDescent="0.2">
      <c r="A61" s="2">
        <v>60</v>
      </c>
      <c r="B61" s="2">
        <v>0.2424</v>
      </c>
      <c r="C61" s="2">
        <v>0.3</v>
      </c>
      <c r="D61" s="2">
        <v>0.28360000000000002</v>
      </c>
      <c r="E61" s="2">
        <v>11</v>
      </c>
      <c r="F61" s="2">
        <v>66</v>
      </c>
      <c r="G61" s="2">
        <v>77</v>
      </c>
      <c r="H61" s="4" t="str">
        <f>IF(Table13[[#This Row],[cnt]]&gt;100,"High","Low")</f>
        <v>Low</v>
      </c>
    </row>
    <row r="62" spans="1:8" ht="14.25" x14ac:dyDescent="0.2">
      <c r="A62" s="2">
        <v>61</v>
      </c>
      <c r="B62" s="2">
        <v>0.2424</v>
      </c>
      <c r="C62" s="2">
        <v>0.3</v>
      </c>
      <c r="D62" s="2">
        <v>0.25369999999999998</v>
      </c>
      <c r="E62" s="2">
        <v>14</v>
      </c>
      <c r="F62" s="2">
        <v>58</v>
      </c>
      <c r="G62" s="2">
        <v>72</v>
      </c>
      <c r="H62" s="4" t="str">
        <f>IF(Table13[[#This Row],[cnt]]&gt;100,"High","Low")</f>
        <v>Low</v>
      </c>
    </row>
    <row r="63" spans="1:8" ht="14.25" x14ac:dyDescent="0.2">
      <c r="A63" s="2">
        <v>62</v>
      </c>
      <c r="B63" s="2">
        <v>0.2424</v>
      </c>
      <c r="C63" s="2">
        <v>0.3</v>
      </c>
      <c r="D63" s="2">
        <v>0.25369999999999998</v>
      </c>
      <c r="E63" s="2">
        <v>9</v>
      </c>
      <c r="F63" s="2">
        <v>67</v>
      </c>
      <c r="G63" s="2">
        <v>76</v>
      </c>
      <c r="H63" s="4" t="str">
        <f>IF(Table13[[#This Row],[cnt]]&gt;100,"High","Low")</f>
        <v>Low</v>
      </c>
    </row>
    <row r="64" spans="1:8" ht="14.25" x14ac:dyDescent="0.2">
      <c r="A64" s="2">
        <v>63</v>
      </c>
      <c r="B64" s="2">
        <v>0.2273</v>
      </c>
      <c r="C64" s="2">
        <v>0.3</v>
      </c>
      <c r="D64" s="2">
        <v>0.22389999999999999</v>
      </c>
      <c r="E64" s="2">
        <v>11</v>
      </c>
      <c r="F64" s="2">
        <v>146</v>
      </c>
      <c r="G64" s="2">
        <v>157</v>
      </c>
      <c r="H64" s="4" t="str">
        <f>IF(Table13[[#This Row],[cnt]]&gt;100,"High","Low")</f>
        <v>High</v>
      </c>
    </row>
    <row r="65" spans="1:8" ht="14.25" x14ac:dyDescent="0.2">
      <c r="A65" s="2">
        <v>64</v>
      </c>
      <c r="B65" s="2">
        <v>0.2576</v>
      </c>
      <c r="C65" s="2">
        <v>0.32</v>
      </c>
      <c r="D65" s="2">
        <v>0.1045</v>
      </c>
      <c r="E65" s="2">
        <v>9</v>
      </c>
      <c r="F65" s="2">
        <v>148</v>
      </c>
      <c r="G65" s="2">
        <v>157</v>
      </c>
      <c r="H65" s="4" t="str">
        <f>IF(Table13[[#This Row],[cnt]]&gt;100,"High","Low")</f>
        <v>High</v>
      </c>
    </row>
    <row r="66" spans="1:8" ht="14.25" x14ac:dyDescent="0.2">
      <c r="A66" s="2">
        <v>65</v>
      </c>
      <c r="B66" s="2">
        <v>0.2576</v>
      </c>
      <c r="C66" s="2">
        <v>0.47</v>
      </c>
      <c r="D66" s="2">
        <v>0</v>
      </c>
      <c r="E66" s="2">
        <v>8</v>
      </c>
      <c r="F66" s="2">
        <v>102</v>
      </c>
      <c r="G66" s="2">
        <v>110</v>
      </c>
      <c r="H66" s="4" t="str">
        <f>IF(Table13[[#This Row],[cnt]]&gt;100,"High","Low")</f>
        <v>High</v>
      </c>
    </row>
    <row r="67" spans="1:8" ht="14.25" x14ac:dyDescent="0.2">
      <c r="A67" s="2">
        <v>66</v>
      </c>
      <c r="B67" s="2">
        <v>0.19993</v>
      </c>
      <c r="C67" s="2">
        <v>0.47</v>
      </c>
      <c r="D67" s="2">
        <v>0.1045</v>
      </c>
      <c r="E67" s="2">
        <v>3</v>
      </c>
      <c r="F67" s="2">
        <v>49</v>
      </c>
      <c r="G67" s="2">
        <v>52</v>
      </c>
      <c r="H67" s="4" t="str">
        <f>IF(Table13[[#This Row],[cnt]]&gt;100,"High","Low")</f>
        <v>Low</v>
      </c>
    </row>
    <row r="68" spans="1:8" ht="14.25" x14ac:dyDescent="0.2">
      <c r="A68" s="2">
        <v>67</v>
      </c>
      <c r="B68" s="2">
        <v>0.19700000000000001</v>
      </c>
      <c r="C68" s="2">
        <v>0.64</v>
      </c>
      <c r="D68" s="2">
        <v>0.1343</v>
      </c>
      <c r="E68" s="2">
        <v>3</v>
      </c>
      <c r="F68" s="2">
        <v>49</v>
      </c>
      <c r="G68" s="2">
        <v>52</v>
      </c>
      <c r="H68" s="4" t="str">
        <f>IF(Table13[[#This Row],[cnt]]&gt;100,"High","Low")</f>
        <v>Low</v>
      </c>
    </row>
    <row r="69" spans="1:8" ht="14.25" x14ac:dyDescent="0.2">
      <c r="A69" s="2">
        <v>68</v>
      </c>
      <c r="B69" s="2">
        <v>0.1515</v>
      </c>
      <c r="C69" s="2">
        <v>0.69</v>
      </c>
      <c r="D69" s="2">
        <v>0.1343</v>
      </c>
      <c r="E69" s="2">
        <v>0</v>
      </c>
      <c r="F69" s="2">
        <v>20</v>
      </c>
      <c r="G69" s="2">
        <v>20</v>
      </c>
      <c r="H69" s="4" t="str">
        <f>IF(Table13[[#This Row],[cnt]]&gt;100,"High","Low")</f>
        <v>Low</v>
      </c>
    </row>
    <row r="70" spans="1:8" ht="14.25" x14ac:dyDescent="0.2">
      <c r="A70" s="2">
        <v>69</v>
      </c>
      <c r="B70" s="2">
        <v>0.21210000000000001</v>
      </c>
      <c r="C70" s="2">
        <v>0.55000000000000004</v>
      </c>
      <c r="D70" s="2">
        <v>0.1045</v>
      </c>
      <c r="E70" s="2">
        <v>1</v>
      </c>
      <c r="F70" s="2">
        <v>11</v>
      </c>
      <c r="G70" s="2">
        <v>12</v>
      </c>
      <c r="H70" s="4" t="str">
        <f>IF(Table13[[#This Row],[cnt]]&gt;100,"High","Low")</f>
        <v>Low</v>
      </c>
    </row>
    <row r="71" spans="1:8" ht="14.25" x14ac:dyDescent="0.2">
      <c r="A71" s="2">
        <v>70</v>
      </c>
      <c r="B71" s="2">
        <v>0.19993</v>
      </c>
      <c r="C71" s="2">
        <v>0.55000000000000004</v>
      </c>
      <c r="D71" s="2">
        <v>0.1045</v>
      </c>
      <c r="E71" s="2">
        <v>0</v>
      </c>
      <c r="F71" s="2">
        <v>5</v>
      </c>
      <c r="G71" s="2">
        <v>5</v>
      </c>
      <c r="H71" s="4" t="str">
        <f>IF(Table13[[#This Row],[cnt]]&gt;100,"High","Low")</f>
        <v>Low</v>
      </c>
    </row>
    <row r="72" spans="1:8" ht="14.25" x14ac:dyDescent="0.2">
      <c r="A72" s="2">
        <v>71</v>
      </c>
      <c r="B72" s="2">
        <v>0.18179999999999999</v>
      </c>
      <c r="C72" s="2">
        <v>0.59</v>
      </c>
      <c r="D72" s="2">
        <v>0.1045</v>
      </c>
      <c r="E72" s="2">
        <v>0</v>
      </c>
      <c r="F72" s="2">
        <v>2</v>
      </c>
      <c r="G72" s="2">
        <v>2</v>
      </c>
      <c r="H72" s="4" t="str">
        <f>IF(Table13[[#This Row],[cnt]]&gt;100,"High","Low")</f>
        <v>Low</v>
      </c>
    </row>
    <row r="73" spans="1:8" ht="14.25" x14ac:dyDescent="0.2">
      <c r="A73" s="2">
        <v>72</v>
      </c>
      <c r="B73" s="2">
        <v>0.1515</v>
      </c>
      <c r="C73" s="2">
        <v>0.63</v>
      </c>
      <c r="D73" s="2">
        <v>0.1343</v>
      </c>
      <c r="E73" s="2">
        <v>0</v>
      </c>
      <c r="F73" s="2">
        <v>1</v>
      </c>
      <c r="G73" s="2">
        <v>1</v>
      </c>
      <c r="H73" s="4" t="str">
        <f>IF(Table13[[#This Row],[cnt]]&gt;100,"High","Low")</f>
        <v>Low</v>
      </c>
    </row>
    <row r="74" spans="1:8" ht="14.25" x14ac:dyDescent="0.2">
      <c r="A74" s="2">
        <v>73</v>
      </c>
      <c r="B74" s="2">
        <v>0.18179999999999999</v>
      </c>
      <c r="C74" s="2">
        <v>0.63</v>
      </c>
      <c r="D74" s="2">
        <v>8.9599999999999999E-2</v>
      </c>
      <c r="E74" s="2">
        <v>0</v>
      </c>
      <c r="F74" s="2">
        <v>2</v>
      </c>
      <c r="G74" s="2">
        <v>2</v>
      </c>
      <c r="H74" s="4" t="str">
        <f>IF(Table13[[#This Row],[cnt]]&gt;100,"High","Low")</f>
        <v>Low</v>
      </c>
    </row>
    <row r="75" spans="1:8" ht="14.25" x14ac:dyDescent="0.2">
      <c r="A75" s="2">
        <v>74</v>
      </c>
      <c r="B75" s="2">
        <v>0.1515</v>
      </c>
      <c r="C75" s="2">
        <v>0.68</v>
      </c>
      <c r="D75" s="2">
        <v>0.1045</v>
      </c>
      <c r="E75" s="2">
        <v>0</v>
      </c>
      <c r="F75" s="2">
        <v>4</v>
      </c>
      <c r="G75" s="2">
        <v>4</v>
      </c>
      <c r="H75" s="4" t="str">
        <f>IF(Table13[[#This Row],[cnt]]&gt;100,"High","Low")</f>
        <v>Low</v>
      </c>
    </row>
    <row r="76" spans="1:8" ht="14.25" x14ac:dyDescent="0.2">
      <c r="A76" s="2">
        <v>75</v>
      </c>
      <c r="B76" s="2">
        <v>0.1515</v>
      </c>
      <c r="C76" s="2">
        <v>0.74</v>
      </c>
      <c r="D76" s="2">
        <v>0.1045</v>
      </c>
      <c r="E76" s="2">
        <v>0</v>
      </c>
      <c r="F76" s="2">
        <v>36</v>
      </c>
      <c r="G76" s="2">
        <v>36</v>
      </c>
      <c r="H76" s="4" t="str">
        <f>IF(Table13[[#This Row],[cnt]]&gt;100,"High","Low")</f>
        <v>Low</v>
      </c>
    </row>
    <row r="77" spans="1:8" ht="14.25" x14ac:dyDescent="0.2">
      <c r="A77" s="2">
        <v>76</v>
      </c>
      <c r="B77" s="2">
        <v>0.1515</v>
      </c>
      <c r="C77" s="2">
        <v>0.74</v>
      </c>
      <c r="D77" s="2">
        <v>0.1343</v>
      </c>
      <c r="E77" s="2">
        <v>2</v>
      </c>
      <c r="F77" s="2">
        <v>92</v>
      </c>
      <c r="G77" s="2">
        <v>94</v>
      </c>
      <c r="H77" s="4" t="str">
        <f>IF(Table13[[#This Row],[cnt]]&gt;100,"High","Low")</f>
        <v>Low</v>
      </c>
    </row>
    <row r="78" spans="1:8" ht="14.25" x14ac:dyDescent="0.2">
      <c r="A78" s="2">
        <v>77</v>
      </c>
      <c r="B78" s="2">
        <v>0.1515</v>
      </c>
      <c r="C78" s="2">
        <v>0.69</v>
      </c>
      <c r="D78" s="2">
        <v>0.16420000000000001</v>
      </c>
      <c r="E78" s="2">
        <v>2</v>
      </c>
      <c r="F78" s="2">
        <v>177</v>
      </c>
      <c r="G78" s="2">
        <v>179</v>
      </c>
      <c r="H78" s="4" t="str">
        <f>IF(Table13[[#This Row],[cnt]]&gt;100,"High","Low")</f>
        <v>High</v>
      </c>
    </row>
    <row r="79" spans="1:8" ht="14.25" x14ac:dyDescent="0.2">
      <c r="A79" s="2">
        <v>78</v>
      </c>
      <c r="B79" s="2">
        <v>0.1515</v>
      </c>
      <c r="C79" s="2">
        <v>0.64</v>
      </c>
      <c r="D79" s="2">
        <v>0.22389999999999999</v>
      </c>
      <c r="E79" s="2">
        <v>2</v>
      </c>
      <c r="F79" s="2">
        <v>98</v>
      </c>
      <c r="G79" s="2">
        <v>100</v>
      </c>
      <c r="H79" s="4" t="str">
        <f>IF(Table13[[#This Row],[cnt]]&gt;100,"High","Low")</f>
        <v>Low</v>
      </c>
    </row>
    <row r="80" spans="1:8" ht="14.25" x14ac:dyDescent="0.2">
      <c r="A80" s="2">
        <v>79</v>
      </c>
      <c r="B80" s="2">
        <v>0.13639999999999999</v>
      </c>
      <c r="C80" s="2">
        <v>0.69</v>
      </c>
      <c r="D80" s="2">
        <v>0.32840000000000003</v>
      </c>
      <c r="E80" s="2">
        <v>5</v>
      </c>
      <c r="F80" s="2">
        <v>37</v>
      </c>
      <c r="G80" s="2">
        <v>42</v>
      </c>
      <c r="H80" s="4" t="str">
        <f>IF(Table13[[#This Row],[cnt]]&gt;100,"High","Low")</f>
        <v>Low</v>
      </c>
    </row>
    <row r="81" spans="1:8" ht="14.25" x14ac:dyDescent="0.2">
      <c r="A81" s="2">
        <v>80</v>
      </c>
      <c r="B81" s="2">
        <v>0.21210000000000001</v>
      </c>
      <c r="C81" s="2">
        <v>0.51</v>
      </c>
      <c r="D81" s="2">
        <v>0.29849999999999999</v>
      </c>
      <c r="E81" s="2">
        <v>7</v>
      </c>
      <c r="F81" s="2">
        <v>50</v>
      </c>
      <c r="G81" s="2">
        <v>57</v>
      </c>
      <c r="H81" s="4" t="str">
        <f>IF(Table13[[#This Row],[cnt]]&gt;100,"High","Low")</f>
        <v>Low</v>
      </c>
    </row>
    <row r="82" spans="1:8" ht="14.25" x14ac:dyDescent="0.2">
      <c r="A82" s="2">
        <v>81</v>
      </c>
      <c r="B82" s="2">
        <v>0.2273</v>
      </c>
      <c r="C82" s="2">
        <v>0.51</v>
      </c>
      <c r="D82" s="2">
        <v>0.16420000000000001</v>
      </c>
      <c r="E82" s="2">
        <v>12</v>
      </c>
      <c r="F82" s="2">
        <v>66</v>
      </c>
      <c r="G82" s="2">
        <v>78</v>
      </c>
      <c r="H82" s="4" t="str">
        <f>IF(Table13[[#This Row],[cnt]]&gt;100,"High","Low")</f>
        <v>Low</v>
      </c>
    </row>
    <row r="83" spans="1:8" ht="14.25" x14ac:dyDescent="0.2">
      <c r="A83" s="2">
        <v>82</v>
      </c>
      <c r="B83" s="2">
        <v>0.2273</v>
      </c>
      <c r="C83" s="2">
        <v>0.56000000000000005</v>
      </c>
      <c r="D83" s="2">
        <v>0.19400000000000001</v>
      </c>
      <c r="E83" s="2">
        <v>18</v>
      </c>
      <c r="F83" s="2">
        <v>79</v>
      </c>
      <c r="G83" s="2">
        <v>97</v>
      </c>
      <c r="H83" s="4" t="str">
        <f>IF(Table13[[#This Row],[cnt]]&gt;100,"High","Low")</f>
        <v>Low</v>
      </c>
    </row>
    <row r="84" spans="1:8" ht="14.25" x14ac:dyDescent="0.2">
      <c r="A84" s="2">
        <v>83</v>
      </c>
      <c r="B84" s="2">
        <v>0.2576</v>
      </c>
      <c r="C84" s="2">
        <v>0.52</v>
      </c>
      <c r="D84" s="2">
        <v>0.22389999999999999</v>
      </c>
      <c r="E84" s="2">
        <v>9</v>
      </c>
      <c r="F84" s="2">
        <v>54</v>
      </c>
      <c r="G84" s="2">
        <v>63</v>
      </c>
      <c r="H84" s="4" t="str">
        <f>IF(Table13[[#This Row],[cnt]]&gt;100,"High","Low")</f>
        <v>Low</v>
      </c>
    </row>
    <row r="85" spans="1:8" ht="14.25" x14ac:dyDescent="0.2">
      <c r="A85" s="2">
        <v>84</v>
      </c>
      <c r="B85" s="2">
        <v>0.2727</v>
      </c>
      <c r="C85" s="2">
        <v>0.52</v>
      </c>
      <c r="D85" s="2">
        <v>0.25369999999999998</v>
      </c>
      <c r="E85" s="2">
        <v>17</v>
      </c>
      <c r="F85" s="2">
        <v>48</v>
      </c>
      <c r="G85" s="2">
        <v>65</v>
      </c>
      <c r="H85" s="4" t="str">
        <f>IF(Table13[[#This Row],[cnt]]&gt;100,"High","Low")</f>
        <v>Low</v>
      </c>
    </row>
    <row r="86" spans="1:8" ht="14.25" x14ac:dyDescent="0.2">
      <c r="A86" s="2">
        <v>85</v>
      </c>
      <c r="B86" s="2">
        <v>0.28789999999999999</v>
      </c>
      <c r="C86" s="2">
        <v>0.49</v>
      </c>
      <c r="D86" s="2">
        <v>0.25369999999999998</v>
      </c>
      <c r="E86" s="2">
        <v>15</v>
      </c>
      <c r="F86" s="2">
        <v>68</v>
      </c>
      <c r="G86" s="2">
        <v>83</v>
      </c>
      <c r="H86" s="4" t="str">
        <f>IF(Table13[[#This Row],[cnt]]&gt;100,"High","Low")</f>
        <v>Low</v>
      </c>
    </row>
    <row r="87" spans="1:8" ht="14.25" x14ac:dyDescent="0.2">
      <c r="A87" s="2">
        <v>86</v>
      </c>
      <c r="B87" s="2">
        <v>0.2727</v>
      </c>
      <c r="C87" s="2">
        <v>0.48</v>
      </c>
      <c r="D87" s="2">
        <v>0.22389999999999999</v>
      </c>
      <c r="E87" s="2">
        <v>10</v>
      </c>
      <c r="F87" s="2">
        <v>202</v>
      </c>
      <c r="G87" s="2">
        <v>212</v>
      </c>
      <c r="H87" s="4" t="str">
        <f>IF(Table13[[#This Row],[cnt]]&gt;100,"High","Low")</f>
        <v>High</v>
      </c>
    </row>
    <row r="88" spans="1:8" ht="14.25" x14ac:dyDescent="0.2">
      <c r="A88" s="2">
        <v>87</v>
      </c>
      <c r="B88" s="2">
        <v>0.2576</v>
      </c>
      <c r="C88" s="2">
        <v>0.48</v>
      </c>
      <c r="D88" s="2">
        <v>0.19400000000000001</v>
      </c>
      <c r="E88" s="2">
        <v>3</v>
      </c>
      <c r="F88" s="2">
        <v>179</v>
      </c>
      <c r="G88" s="2">
        <v>182</v>
      </c>
      <c r="H88" s="4" t="str">
        <f>IF(Table13[[#This Row],[cnt]]&gt;100,"High","Low")</f>
        <v>High</v>
      </c>
    </row>
    <row r="89" spans="1:8" ht="14.25" x14ac:dyDescent="0.2">
      <c r="A89" s="2">
        <v>88</v>
      </c>
      <c r="B89" s="2">
        <v>0.2576</v>
      </c>
      <c r="C89" s="2">
        <v>0.48</v>
      </c>
      <c r="D89" s="2">
        <v>0.1045</v>
      </c>
      <c r="E89" s="2">
        <v>2</v>
      </c>
      <c r="F89" s="2">
        <v>110</v>
      </c>
      <c r="G89" s="2">
        <v>112</v>
      </c>
      <c r="H89" s="4" t="str">
        <f>IF(Table13[[#This Row],[cnt]]&gt;100,"High","Low")</f>
        <v>High</v>
      </c>
    </row>
    <row r="90" spans="1:8" ht="14.25" x14ac:dyDescent="0.2">
      <c r="A90" s="2">
        <v>89</v>
      </c>
      <c r="B90" s="2">
        <v>0.2576</v>
      </c>
      <c r="C90" s="2">
        <v>0.48</v>
      </c>
      <c r="D90" s="2">
        <v>0.1045</v>
      </c>
      <c r="E90" s="2">
        <v>1</v>
      </c>
      <c r="F90" s="2">
        <v>53</v>
      </c>
      <c r="G90" s="2">
        <v>54</v>
      </c>
      <c r="H90" s="4" t="str">
        <f>IF(Table13[[#This Row],[cnt]]&gt;100,"High","Low")</f>
        <v>Low</v>
      </c>
    </row>
    <row r="91" spans="1:8" ht="14.25" x14ac:dyDescent="0.2">
      <c r="A91" s="2">
        <v>90</v>
      </c>
      <c r="B91" s="2">
        <v>0.2727</v>
      </c>
      <c r="C91" s="2">
        <v>0.64</v>
      </c>
      <c r="D91" s="2">
        <v>0</v>
      </c>
      <c r="E91" s="2">
        <v>0</v>
      </c>
      <c r="F91" s="2">
        <v>48</v>
      </c>
      <c r="G91" s="2">
        <v>48</v>
      </c>
      <c r="H91" s="4" t="str">
        <f>IF(Table13[[#This Row],[cnt]]&gt;100,"High","Low")</f>
        <v>Low</v>
      </c>
    </row>
    <row r="92" spans="1:8" ht="14.25" x14ac:dyDescent="0.2">
      <c r="A92" s="2">
        <v>91</v>
      </c>
      <c r="B92" s="2">
        <v>0.2576</v>
      </c>
      <c r="C92" s="2">
        <v>0.64</v>
      </c>
      <c r="D92" s="2">
        <v>8.9599999999999999E-2</v>
      </c>
      <c r="E92" s="2">
        <v>1</v>
      </c>
      <c r="F92" s="2">
        <v>34</v>
      </c>
      <c r="G92" s="2">
        <v>35</v>
      </c>
      <c r="H92" s="4" t="str">
        <f>IF(Table13[[#This Row],[cnt]]&gt;100,"High","Low")</f>
        <v>Low</v>
      </c>
    </row>
    <row r="93" spans="1:8" ht="14.25" x14ac:dyDescent="0.2">
      <c r="A93" s="2">
        <v>92</v>
      </c>
      <c r="B93" s="2">
        <v>0.2273</v>
      </c>
      <c r="C93" s="2">
        <v>0.69</v>
      </c>
      <c r="D93" s="2">
        <v>8.9599999999999999E-2</v>
      </c>
      <c r="E93" s="2">
        <v>2</v>
      </c>
      <c r="F93" s="2">
        <v>9</v>
      </c>
      <c r="G93" s="2">
        <v>11</v>
      </c>
      <c r="H93" s="4" t="str">
        <f>IF(Table13[[#This Row],[cnt]]&gt;100,"High","Low")</f>
        <v>Low</v>
      </c>
    </row>
    <row r="94" spans="1:8" ht="14.25" x14ac:dyDescent="0.2">
      <c r="A94" s="2">
        <v>93</v>
      </c>
      <c r="B94" s="2">
        <v>0.2576</v>
      </c>
      <c r="C94" s="2">
        <v>0.64</v>
      </c>
      <c r="D94" s="2">
        <v>0</v>
      </c>
      <c r="E94" s="2">
        <v>0</v>
      </c>
      <c r="F94" s="2">
        <v>6</v>
      </c>
      <c r="G94" s="2">
        <v>6</v>
      </c>
      <c r="H94" s="4" t="str">
        <f>IF(Table13[[#This Row],[cnt]]&gt;100,"High","Low")</f>
        <v>Low</v>
      </c>
    </row>
    <row r="95" spans="1:8" ht="14.25" x14ac:dyDescent="0.2">
      <c r="A95" s="2">
        <v>94</v>
      </c>
      <c r="B95" s="2">
        <v>0.19700000000000001</v>
      </c>
      <c r="C95" s="2">
        <v>0.74</v>
      </c>
      <c r="D95" s="2">
        <v>8.9599999999999999E-2</v>
      </c>
      <c r="E95" s="2">
        <v>0</v>
      </c>
      <c r="F95" s="2">
        <v>6</v>
      </c>
      <c r="G95" s="2">
        <v>6</v>
      </c>
      <c r="H95" s="4" t="str">
        <f>IF(Table13[[#This Row],[cnt]]&gt;100,"High","Low")</f>
        <v>Low</v>
      </c>
    </row>
    <row r="96" spans="1:8" ht="14.25" x14ac:dyDescent="0.2">
      <c r="A96" s="2">
        <v>95</v>
      </c>
      <c r="B96" s="2">
        <v>0.19700000000000001</v>
      </c>
      <c r="C96" s="2">
        <v>0.74</v>
      </c>
      <c r="D96" s="2">
        <v>8.9599999999999999E-2</v>
      </c>
      <c r="E96" s="2">
        <v>0</v>
      </c>
      <c r="F96" s="2">
        <v>2</v>
      </c>
      <c r="G96" s="2">
        <v>2</v>
      </c>
      <c r="H96" s="4" t="str">
        <f>IF(Table13[[#This Row],[cnt]]&gt;100,"High","Low")</f>
        <v>Low</v>
      </c>
    </row>
    <row r="97" spans="1:8" ht="14.25" x14ac:dyDescent="0.2">
      <c r="A97" s="2">
        <v>96</v>
      </c>
      <c r="B97" s="2">
        <v>0.2273</v>
      </c>
      <c r="C97" s="2">
        <v>0.48</v>
      </c>
      <c r="D97" s="2">
        <v>0.22389999999999999</v>
      </c>
      <c r="E97" s="2">
        <v>0</v>
      </c>
      <c r="F97" s="2">
        <v>2</v>
      </c>
      <c r="G97" s="2">
        <v>2</v>
      </c>
      <c r="H97" s="4" t="str">
        <f>IF(Table13[[#This Row],[cnt]]&gt;100,"High","Low")</f>
        <v>Low</v>
      </c>
    </row>
    <row r="98" spans="1:8" ht="14.25" x14ac:dyDescent="0.2">
      <c r="A98" s="2">
        <v>97</v>
      </c>
      <c r="B98" s="2">
        <v>0.2273</v>
      </c>
      <c r="C98" s="2">
        <v>0.47</v>
      </c>
      <c r="D98" s="2">
        <v>0.16420000000000001</v>
      </c>
      <c r="E98" s="2">
        <v>0</v>
      </c>
      <c r="F98" s="2">
        <v>3</v>
      </c>
      <c r="G98" s="2">
        <v>3</v>
      </c>
      <c r="H98" s="4" t="str">
        <f>IF(Table13[[#This Row],[cnt]]&gt;100,"High","Low")</f>
        <v>Low</v>
      </c>
    </row>
    <row r="99" spans="1:8" ht="14.25" x14ac:dyDescent="0.2">
      <c r="A99" s="2">
        <v>98</v>
      </c>
      <c r="B99" s="2">
        <v>0.19700000000000001</v>
      </c>
      <c r="C99" s="2">
        <v>0.47</v>
      </c>
      <c r="D99" s="2">
        <v>0.22389999999999999</v>
      </c>
      <c r="E99" s="2">
        <v>0</v>
      </c>
      <c r="F99" s="2">
        <v>33</v>
      </c>
      <c r="G99" s="2">
        <v>33</v>
      </c>
      <c r="H99" s="4" t="str">
        <f>IF(Table13[[#This Row],[cnt]]&gt;100,"High","Low")</f>
        <v>Low</v>
      </c>
    </row>
    <row r="100" spans="1:8" ht="14.25" x14ac:dyDescent="0.2">
      <c r="A100" s="2">
        <v>99</v>
      </c>
      <c r="B100" s="2">
        <v>0.18179999999999999</v>
      </c>
      <c r="C100" s="2">
        <v>0.43</v>
      </c>
      <c r="D100" s="2">
        <v>0.19400000000000001</v>
      </c>
      <c r="E100" s="2">
        <v>1</v>
      </c>
      <c r="F100" s="2">
        <v>87</v>
      </c>
      <c r="G100" s="2">
        <v>88</v>
      </c>
      <c r="H100" s="4" t="str">
        <f>IF(Table13[[#This Row],[cnt]]&gt;100,"High","Low")</f>
        <v>Low</v>
      </c>
    </row>
    <row r="101" spans="1:8" ht="14.25" x14ac:dyDescent="0.2">
      <c r="A101" s="2">
        <v>100</v>
      </c>
      <c r="B101" s="2">
        <v>0.18179999999999999</v>
      </c>
      <c r="C101" s="2">
        <v>0.4</v>
      </c>
      <c r="D101" s="2">
        <v>0.29849999999999999</v>
      </c>
      <c r="E101" s="2">
        <v>3</v>
      </c>
      <c r="F101" s="2">
        <v>192</v>
      </c>
      <c r="G101" s="2">
        <v>195</v>
      </c>
      <c r="H101" s="4" t="str">
        <f>IF(Table13[[#This Row],[cnt]]&gt;100,"High","Low")</f>
        <v>High</v>
      </c>
    </row>
    <row r="102" spans="1:8" ht="14.25" x14ac:dyDescent="0.2">
      <c r="A102" s="2">
        <v>101</v>
      </c>
      <c r="B102" s="2">
        <v>0.19700000000000001</v>
      </c>
      <c r="C102" s="2">
        <v>0.37</v>
      </c>
      <c r="D102" s="2">
        <v>0.32840000000000003</v>
      </c>
      <c r="E102" s="2">
        <v>6</v>
      </c>
      <c r="F102" s="2">
        <v>109</v>
      </c>
      <c r="G102" s="2">
        <v>115</v>
      </c>
      <c r="H102" s="4" t="str">
        <f>IF(Table13[[#This Row],[cnt]]&gt;100,"High","Low")</f>
        <v>High</v>
      </c>
    </row>
    <row r="103" spans="1:8" ht="14.25" x14ac:dyDescent="0.2">
      <c r="A103" s="2">
        <v>102</v>
      </c>
      <c r="B103" s="2">
        <v>0.19700000000000001</v>
      </c>
      <c r="C103" s="2">
        <v>0.37</v>
      </c>
      <c r="D103" s="2">
        <v>0.32840000000000003</v>
      </c>
      <c r="E103" s="2">
        <v>4</v>
      </c>
      <c r="F103" s="2">
        <v>53</v>
      </c>
      <c r="G103" s="2">
        <v>57</v>
      </c>
      <c r="H103" s="4" t="str">
        <f>IF(Table13[[#This Row],[cnt]]&gt;100,"High","Low")</f>
        <v>Low</v>
      </c>
    </row>
    <row r="104" spans="1:8" ht="14.25" x14ac:dyDescent="0.2">
      <c r="A104" s="2">
        <v>103</v>
      </c>
      <c r="B104" s="2">
        <v>0.2273</v>
      </c>
      <c r="C104" s="2">
        <v>0.33</v>
      </c>
      <c r="D104" s="2">
        <v>0.32840000000000003</v>
      </c>
      <c r="E104" s="2">
        <v>12</v>
      </c>
      <c r="F104" s="2">
        <v>34</v>
      </c>
      <c r="G104" s="2">
        <v>46</v>
      </c>
      <c r="H104" s="4" t="str">
        <f>IF(Table13[[#This Row],[cnt]]&gt;100,"High","Low")</f>
        <v>Low</v>
      </c>
    </row>
    <row r="105" spans="1:8" ht="14.25" x14ac:dyDescent="0.2">
      <c r="A105" s="2">
        <v>104</v>
      </c>
      <c r="B105" s="2">
        <v>0.2273</v>
      </c>
      <c r="C105" s="2">
        <v>0.33</v>
      </c>
      <c r="D105" s="2">
        <v>0.32840000000000003</v>
      </c>
      <c r="E105" s="2">
        <v>5</v>
      </c>
      <c r="F105" s="2">
        <v>74</v>
      </c>
      <c r="G105" s="2">
        <v>79</v>
      </c>
      <c r="H105" s="4" t="str">
        <f>IF(Table13[[#This Row],[cnt]]&gt;100,"High","Low")</f>
        <v>Low</v>
      </c>
    </row>
    <row r="106" spans="1:8" ht="14.25" x14ac:dyDescent="0.2">
      <c r="A106" s="2">
        <v>105</v>
      </c>
      <c r="B106" s="2">
        <v>0.2576</v>
      </c>
      <c r="C106" s="2">
        <v>0.3</v>
      </c>
      <c r="D106" s="2">
        <v>0.29849999999999999</v>
      </c>
      <c r="E106" s="2">
        <v>6</v>
      </c>
      <c r="F106" s="2">
        <v>65</v>
      </c>
      <c r="G106" s="2">
        <v>71</v>
      </c>
      <c r="H106" s="4" t="str">
        <f>IF(Table13[[#This Row],[cnt]]&gt;100,"High","Low")</f>
        <v>Low</v>
      </c>
    </row>
    <row r="107" spans="1:8" ht="14.25" x14ac:dyDescent="0.2">
      <c r="A107" s="2">
        <v>106</v>
      </c>
      <c r="B107" s="2">
        <v>0.28789999999999999</v>
      </c>
      <c r="C107" s="2">
        <v>0.28000000000000003</v>
      </c>
      <c r="D107" s="2">
        <v>0.19400000000000001</v>
      </c>
      <c r="E107" s="2">
        <v>10</v>
      </c>
      <c r="F107" s="2">
        <v>52</v>
      </c>
      <c r="G107" s="2">
        <v>62</v>
      </c>
      <c r="H107" s="4" t="str">
        <f>IF(Table13[[#This Row],[cnt]]&gt;100,"High","Low")</f>
        <v>Low</v>
      </c>
    </row>
    <row r="108" spans="1:8" ht="14.25" x14ac:dyDescent="0.2">
      <c r="A108" s="2">
        <v>107</v>
      </c>
      <c r="B108" s="2">
        <v>0.28789999999999999</v>
      </c>
      <c r="C108" s="2">
        <v>0.28000000000000003</v>
      </c>
      <c r="D108" s="2">
        <v>0.19400000000000001</v>
      </c>
      <c r="E108" s="2">
        <v>7</v>
      </c>
      <c r="F108" s="2">
        <v>55</v>
      </c>
      <c r="G108" s="2">
        <v>62</v>
      </c>
      <c r="H108" s="4" t="str">
        <f>IF(Table13[[#This Row],[cnt]]&gt;100,"High","Low")</f>
        <v>Low</v>
      </c>
    </row>
    <row r="109" spans="1:8" ht="14.25" x14ac:dyDescent="0.2">
      <c r="A109" s="2">
        <v>108</v>
      </c>
      <c r="B109" s="2">
        <v>0.31819999999999998</v>
      </c>
      <c r="C109" s="2">
        <v>0.28000000000000003</v>
      </c>
      <c r="D109" s="2">
        <v>8.9599999999999999E-2</v>
      </c>
      <c r="E109" s="2">
        <v>4</v>
      </c>
      <c r="F109" s="2">
        <v>85</v>
      </c>
      <c r="G109" s="2">
        <v>89</v>
      </c>
      <c r="H109" s="4" t="str">
        <f>IF(Table13[[#This Row],[cnt]]&gt;100,"High","Low")</f>
        <v>Low</v>
      </c>
    </row>
    <row r="110" spans="1:8" ht="14.25" x14ac:dyDescent="0.2">
      <c r="A110" s="2">
        <v>109</v>
      </c>
      <c r="B110" s="2">
        <v>0.2273</v>
      </c>
      <c r="C110" s="2">
        <v>0.38</v>
      </c>
      <c r="D110" s="2">
        <v>0.19400000000000001</v>
      </c>
      <c r="E110" s="2">
        <v>4</v>
      </c>
      <c r="F110" s="2">
        <v>186</v>
      </c>
      <c r="G110" s="2">
        <v>190</v>
      </c>
      <c r="H110" s="4" t="str">
        <f>IF(Table13[[#This Row],[cnt]]&gt;100,"High","Low")</f>
        <v>High</v>
      </c>
    </row>
    <row r="111" spans="1:8" ht="14.25" x14ac:dyDescent="0.2">
      <c r="A111" s="2">
        <v>110</v>
      </c>
      <c r="B111" s="2">
        <v>0.2424</v>
      </c>
      <c r="C111" s="2">
        <v>0.38</v>
      </c>
      <c r="D111" s="2">
        <v>0.1343</v>
      </c>
      <c r="E111" s="2">
        <v>3</v>
      </c>
      <c r="F111" s="2">
        <v>166</v>
      </c>
      <c r="G111" s="2">
        <v>169</v>
      </c>
      <c r="H111" s="4" t="str">
        <f>IF(Table13[[#This Row],[cnt]]&gt;100,"High","Low")</f>
        <v>High</v>
      </c>
    </row>
    <row r="112" spans="1:8" ht="14.25" x14ac:dyDescent="0.2">
      <c r="A112" s="2">
        <v>111</v>
      </c>
      <c r="B112" s="2">
        <v>0.2576</v>
      </c>
      <c r="C112" s="2">
        <v>0.38</v>
      </c>
      <c r="D112" s="2">
        <v>0.1045</v>
      </c>
      <c r="E112" s="2">
        <v>5</v>
      </c>
      <c r="F112" s="2">
        <v>127</v>
      </c>
      <c r="G112" s="2">
        <v>132</v>
      </c>
      <c r="H112" s="4" t="str">
        <f>IF(Table13[[#This Row],[cnt]]&gt;100,"High","Low")</f>
        <v>High</v>
      </c>
    </row>
    <row r="113" spans="1:8" ht="14.25" x14ac:dyDescent="0.2">
      <c r="A113" s="2">
        <v>112</v>
      </c>
      <c r="B113" s="2">
        <v>0.2273</v>
      </c>
      <c r="C113" s="2">
        <v>0.47</v>
      </c>
      <c r="D113" s="2">
        <v>0.16420000000000001</v>
      </c>
      <c r="E113" s="2">
        <v>7</v>
      </c>
      <c r="F113" s="2">
        <v>82</v>
      </c>
      <c r="G113" s="2">
        <v>89</v>
      </c>
      <c r="H113" s="4" t="str">
        <f>IF(Table13[[#This Row],[cnt]]&gt;100,"High","Low")</f>
        <v>Low</v>
      </c>
    </row>
    <row r="114" spans="1:8" ht="14.25" x14ac:dyDescent="0.2">
      <c r="A114" s="2">
        <v>113</v>
      </c>
      <c r="B114" s="2">
        <v>0.19700000000000001</v>
      </c>
      <c r="C114" s="2">
        <v>0.51</v>
      </c>
      <c r="D114" s="2">
        <v>0.19400000000000001</v>
      </c>
      <c r="E114" s="2">
        <v>3</v>
      </c>
      <c r="F114" s="2">
        <v>40</v>
      </c>
      <c r="G114" s="2">
        <v>43</v>
      </c>
      <c r="H114" s="4" t="str">
        <f>IF(Table13[[#This Row],[cnt]]&gt;100,"High","Low")</f>
        <v>Low</v>
      </c>
    </row>
    <row r="115" spans="1:8" ht="14.25" x14ac:dyDescent="0.2">
      <c r="A115" s="2">
        <v>114</v>
      </c>
      <c r="B115" s="2">
        <v>0.19700000000000001</v>
      </c>
      <c r="C115" s="2">
        <v>0.55000000000000004</v>
      </c>
      <c r="D115" s="2">
        <v>0.1343</v>
      </c>
      <c r="E115" s="2">
        <v>1</v>
      </c>
      <c r="F115" s="2">
        <v>41</v>
      </c>
      <c r="G115" s="2">
        <v>42</v>
      </c>
      <c r="H115" s="4" t="str">
        <f>IF(Table13[[#This Row],[cnt]]&gt;100,"High","Low")</f>
        <v>Low</v>
      </c>
    </row>
    <row r="116" spans="1:8" ht="14.25" x14ac:dyDescent="0.2">
      <c r="A116" s="2">
        <v>115</v>
      </c>
      <c r="B116" s="2">
        <v>0.2576</v>
      </c>
      <c r="C116" s="2">
        <v>0.47</v>
      </c>
      <c r="D116" s="2">
        <v>0</v>
      </c>
      <c r="E116" s="2">
        <v>1</v>
      </c>
      <c r="F116" s="2">
        <v>18</v>
      </c>
      <c r="G116" s="2">
        <v>19</v>
      </c>
      <c r="H116" s="4" t="str">
        <f>IF(Table13[[#This Row],[cnt]]&gt;100,"High","Low")</f>
        <v>Low</v>
      </c>
    </row>
    <row r="117" spans="1:8" ht="14.25" x14ac:dyDescent="0.2">
      <c r="A117" s="2">
        <v>116</v>
      </c>
      <c r="B117" s="2">
        <v>0.2424</v>
      </c>
      <c r="C117" s="2">
        <v>0.55000000000000004</v>
      </c>
      <c r="D117" s="2">
        <v>0</v>
      </c>
      <c r="E117" s="2">
        <v>0</v>
      </c>
      <c r="F117" s="2">
        <v>11</v>
      </c>
      <c r="G117" s="2">
        <v>11</v>
      </c>
      <c r="H117" s="4" t="str">
        <f>IF(Table13[[#This Row],[cnt]]&gt;100,"High","Low")</f>
        <v>Low</v>
      </c>
    </row>
    <row r="118" spans="1:8" ht="14.25" x14ac:dyDescent="0.2">
      <c r="A118" s="2">
        <v>117</v>
      </c>
      <c r="B118" s="2">
        <v>0.2273</v>
      </c>
      <c r="C118" s="2">
        <v>0.64</v>
      </c>
      <c r="D118" s="2">
        <v>0</v>
      </c>
      <c r="E118" s="2">
        <v>0</v>
      </c>
      <c r="F118" s="2">
        <v>4</v>
      </c>
      <c r="G118" s="2">
        <v>4</v>
      </c>
      <c r="H118" s="4" t="str">
        <f>IF(Table13[[#This Row],[cnt]]&gt;100,"High","Low")</f>
        <v>Low</v>
      </c>
    </row>
    <row r="119" spans="1:8" ht="14.25" x14ac:dyDescent="0.2">
      <c r="A119" s="2">
        <v>118</v>
      </c>
      <c r="B119" s="2">
        <v>0.2273</v>
      </c>
      <c r="C119" s="2">
        <v>0.64</v>
      </c>
      <c r="D119" s="2">
        <v>0</v>
      </c>
      <c r="E119" s="2">
        <v>0</v>
      </c>
      <c r="F119" s="2">
        <v>2</v>
      </c>
      <c r="G119" s="2">
        <v>2</v>
      </c>
      <c r="H119" s="4" t="str">
        <f>IF(Table13[[#This Row],[cnt]]&gt;100,"High","Low")</f>
        <v>Low</v>
      </c>
    </row>
    <row r="120" spans="1:8" ht="14.25" x14ac:dyDescent="0.2">
      <c r="A120" s="2">
        <v>119</v>
      </c>
      <c r="B120" s="2">
        <v>0.19700000000000001</v>
      </c>
      <c r="C120" s="2">
        <v>0.64</v>
      </c>
      <c r="D120" s="2">
        <v>8.9599999999999999E-2</v>
      </c>
      <c r="E120" s="2">
        <v>0</v>
      </c>
      <c r="F120" s="2">
        <v>1</v>
      </c>
      <c r="G120" s="2">
        <v>1</v>
      </c>
      <c r="H120" s="4" t="str">
        <f>IF(Table13[[#This Row],[cnt]]&gt;100,"High","Low")</f>
        <v>Low</v>
      </c>
    </row>
    <row r="121" spans="1:8" ht="14.25" x14ac:dyDescent="0.2">
      <c r="A121" s="2">
        <v>120</v>
      </c>
      <c r="B121" s="2">
        <v>0.18179999999999999</v>
      </c>
      <c r="C121" s="2">
        <v>0.69</v>
      </c>
      <c r="D121" s="2">
        <v>8.9599999999999999E-2</v>
      </c>
      <c r="E121" s="2">
        <v>0</v>
      </c>
      <c r="F121" s="2">
        <v>4</v>
      </c>
      <c r="G121" s="2">
        <v>4</v>
      </c>
      <c r="H121" s="4" t="str">
        <f>IF(Table13[[#This Row],[cnt]]&gt;100,"High","Low")</f>
        <v>Low</v>
      </c>
    </row>
    <row r="122" spans="1:8" ht="14.25" x14ac:dyDescent="0.2">
      <c r="A122" s="2">
        <v>121</v>
      </c>
      <c r="B122" s="2">
        <v>0.16669999999999999</v>
      </c>
      <c r="C122" s="2">
        <v>0.63</v>
      </c>
      <c r="D122" s="2">
        <v>0.1045</v>
      </c>
      <c r="E122" s="2">
        <v>0</v>
      </c>
      <c r="F122" s="2">
        <v>36</v>
      </c>
      <c r="G122" s="2">
        <v>36</v>
      </c>
      <c r="H122" s="4" t="str">
        <f>IF(Table13[[#This Row],[cnt]]&gt;100,"High","Low")</f>
        <v>Low</v>
      </c>
    </row>
    <row r="123" spans="1:8" ht="14.25" x14ac:dyDescent="0.2">
      <c r="A123" s="2">
        <v>122</v>
      </c>
      <c r="B123" s="2">
        <v>0.2273</v>
      </c>
      <c r="C123" s="2">
        <v>0.59</v>
      </c>
      <c r="D123" s="2">
        <v>0</v>
      </c>
      <c r="E123" s="2">
        <v>0</v>
      </c>
      <c r="F123" s="2">
        <v>95</v>
      </c>
      <c r="G123" s="2">
        <v>95</v>
      </c>
      <c r="H123" s="4" t="str">
        <f>IF(Table13[[#This Row],[cnt]]&gt;100,"High","Low")</f>
        <v>Low</v>
      </c>
    </row>
    <row r="124" spans="1:8" ht="14.25" x14ac:dyDescent="0.2">
      <c r="A124" s="2">
        <v>123</v>
      </c>
      <c r="B124" s="2">
        <v>0.2273</v>
      </c>
      <c r="C124" s="2">
        <v>0.59</v>
      </c>
      <c r="D124" s="2">
        <v>0</v>
      </c>
      <c r="E124" s="2">
        <v>3</v>
      </c>
      <c r="F124" s="2">
        <v>216</v>
      </c>
      <c r="G124" s="2">
        <v>219</v>
      </c>
      <c r="H124" s="4" t="str">
        <f>IF(Table13[[#This Row],[cnt]]&gt;100,"High","Low")</f>
        <v>High</v>
      </c>
    </row>
    <row r="125" spans="1:8" ht="14.25" x14ac:dyDescent="0.2">
      <c r="A125" s="2">
        <v>124</v>
      </c>
      <c r="B125" s="2">
        <v>0.2424</v>
      </c>
      <c r="C125" s="2">
        <v>0.51</v>
      </c>
      <c r="D125" s="2">
        <v>0</v>
      </c>
      <c r="E125" s="2">
        <v>6</v>
      </c>
      <c r="F125" s="2">
        <v>116</v>
      </c>
      <c r="G125" s="2">
        <v>122</v>
      </c>
      <c r="H125" s="4" t="str">
        <f>IF(Table13[[#This Row],[cnt]]&gt;100,"High","Low")</f>
        <v>High</v>
      </c>
    </row>
    <row r="126" spans="1:8" ht="14.25" x14ac:dyDescent="0.2">
      <c r="A126" s="2">
        <v>125</v>
      </c>
      <c r="B126" s="2">
        <v>0.2576</v>
      </c>
      <c r="C126" s="2">
        <v>0.47</v>
      </c>
      <c r="D126" s="2">
        <v>0</v>
      </c>
      <c r="E126" s="2">
        <v>3</v>
      </c>
      <c r="F126" s="2">
        <v>42</v>
      </c>
      <c r="G126" s="2">
        <v>45</v>
      </c>
      <c r="H126" s="4" t="str">
        <f>IF(Table13[[#This Row],[cnt]]&gt;100,"High","Low")</f>
        <v>Low</v>
      </c>
    </row>
    <row r="127" spans="1:8" ht="14.25" x14ac:dyDescent="0.2">
      <c r="A127" s="2">
        <v>126</v>
      </c>
      <c r="B127" s="2">
        <v>0.2576</v>
      </c>
      <c r="C127" s="2">
        <v>0.44</v>
      </c>
      <c r="D127" s="2">
        <v>8.9599999999999999E-2</v>
      </c>
      <c r="E127" s="2">
        <v>2</v>
      </c>
      <c r="F127" s="2">
        <v>57</v>
      </c>
      <c r="G127" s="2">
        <v>59</v>
      </c>
      <c r="H127" s="4" t="str">
        <f>IF(Table13[[#This Row],[cnt]]&gt;100,"High","Low")</f>
        <v>Low</v>
      </c>
    </row>
    <row r="128" spans="1:8" ht="14.25" x14ac:dyDescent="0.2">
      <c r="A128" s="2">
        <v>127</v>
      </c>
      <c r="B128" s="2">
        <v>0.28789999999999999</v>
      </c>
      <c r="C128" s="2">
        <v>0.35</v>
      </c>
      <c r="D128" s="2">
        <v>0</v>
      </c>
      <c r="E128" s="2">
        <v>6</v>
      </c>
      <c r="F128" s="2">
        <v>78</v>
      </c>
      <c r="G128" s="2">
        <v>84</v>
      </c>
      <c r="H128" s="4" t="str">
        <f>IF(Table13[[#This Row],[cnt]]&gt;100,"High","Low")</f>
        <v>Low</v>
      </c>
    </row>
    <row r="129" spans="1:8" ht="14.25" x14ac:dyDescent="0.2">
      <c r="A129" s="2">
        <v>128</v>
      </c>
      <c r="B129" s="2">
        <v>0.2727</v>
      </c>
      <c r="C129" s="2">
        <v>0.35</v>
      </c>
      <c r="D129" s="2">
        <v>0.1045</v>
      </c>
      <c r="E129" s="2">
        <v>12</v>
      </c>
      <c r="F129" s="2">
        <v>55</v>
      </c>
      <c r="G129" s="2">
        <v>67</v>
      </c>
      <c r="H129" s="4" t="str">
        <f>IF(Table13[[#This Row],[cnt]]&gt;100,"High","Low")</f>
        <v>Low</v>
      </c>
    </row>
    <row r="130" spans="1:8" ht="14.25" x14ac:dyDescent="0.2">
      <c r="A130" s="2">
        <v>129</v>
      </c>
      <c r="B130" s="2">
        <v>0.2727</v>
      </c>
      <c r="C130" s="2">
        <v>0.36</v>
      </c>
      <c r="D130" s="2">
        <v>0.16420000000000001</v>
      </c>
      <c r="E130" s="2">
        <v>11</v>
      </c>
      <c r="F130" s="2">
        <v>59</v>
      </c>
      <c r="G130" s="2">
        <v>70</v>
      </c>
      <c r="H130" s="4" t="str">
        <f>IF(Table13[[#This Row],[cnt]]&gt;100,"High","Low")</f>
        <v>Low</v>
      </c>
    </row>
    <row r="131" spans="1:8" ht="14.25" x14ac:dyDescent="0.2">
      <c r="A131" s="2">
        <v>130</v>
      </c>
      <c r="B131" s="2">
        <v>0.2727</v>
      </c>
      <c r="C131" s="2">
        <v>0.36</v>
      </c>
      <c r="D131" s="2">
        <v>0</v>
      </c>
      <c r="E131" s="2">
        <v>8</v>
      </c>
      <c r="F131" s="2">
        <v>54</v>
      </c>
      <c r="G131" s="2">
        <v>62</v>
      </c>
      <c r="H131" s="4" t="str">
        <f>IF(Table13[[#This Row],[cnt]]&gt;100,"High","Low")</f>
        <v>Low</v>
      </c>
    </row>
    <row r="132" spans="1:8" ht="14.25" x14ac:dyDescent="0.2">
      <c r="A132" s="2">
        <v>131</v>
      </c>
      <c r="B132" s="2">
        <v>0.2576</v>
      </c>
      <c r="C132" s="2">
        <v>0.38</v>
      </c>
      <c r="D132" s="2">
        <v>0.16420000000000001</v>
      </c>
      <c r="E132" s="2">
        <v>12</v>
      </c>
      <c r="F132" s="2">
        <v>74</v>
      </c>
      <c r="G132" s="2">
        <v>86</v>
      </c>
      <c r="H132" s="4" t="str">
        <f>IF(Table13[[#This Row],[cnt]]&gt;100,"High","Low")</f>
        <v>Low</v>
      </c>
    </row>
    <row r="133" spans="1:8" ht="14.25" x14ac:dyDescent="0.2">
      <c r="A133" s="2">
        <v>132</v>
      </c>
      <c r="B133" s="2">
        <v>0.2273</v>
      </c>
      <c r="C133" s="2">
        <v>0.51</v>
      </c>
      <c r="D133" s="2">
        <v>0.16420000000000001</v>
      </c>
      <c r="E133" s="2">
        <v>9</v>
      </c>
      <c r="F133" s="2">
        <v>163</v>
      </c>
      <c r="G133" s="2">
        <v>172</v>
      </c>
      <c r="H133" s="4" t="str">
        <f>IF(Table13[[#This Row],[cnt]]&gt;100,"High","Low")</f>
        <v>High</v>
      </c>
    </row>
    <row r="134" spans="1:8" ht="14.25" x14ac:dyDescent="0.2">
      <c r="A134" s="2">
        <v>133</v>
      </c>
      <c r="B134" s="2">
        <v>0.2273</v>
      </c>
      <c r="C134" s="2">
        <v>0.51</v>
      </c>
      <c r="D134" s="2">
        <v>0.1343</v>
      </c>
      <c r="E134" s="2">
        <v>5</v>
      </c>
      <c r="F134" s="2">
        <v>158</v>
      </c>
      <c r="G134" s="2">
        <v>163</v>
      </c>
      <c r="H134" s="4" t="str">
        <f>IF(Table13[[#This Row],[cnt]]&gt;100,"High","Low")</f>
        <v>High</v>
      </c>
    </row>
    <row r="135" spans="1:8" ht="14.25" x14ac:dyDescent="0.2">
      <c r="A135" s="2">
        <v>134</v>
      </c>
      <c r="B135" s="2">
        <v>0.2576</v>
      </c>
      <c r="C135" s="2">
        <v>0.55000000000000004</v>
      </c>
      <c r="D135" s="2">
        <v>8.9599999999999999E-2</v>
      </c>
      <c r="E135" s="2">
        <v>3</v>
      </c>
      <c r="F135" s="2">
        <v>109</v>
      </c>
      <c r="G135" s="2">
        <v>112</v>
      </c>
      <c r="H135" s="4" t="str">
        <f>IF(Table13[[#This Row],[cnt]]&gt;100,"High","Low")</f>
        <v>High</v>
      </c>
    </row>
    <row r="136" spans="1:8" ht="14.25" x14ac:dyDescent="0.2">
      <c r="A136" s="2">
        <v>135</v>
      </c>
      <c r="B136" s="2">
        <v>0.21210000000000001</v>
      </c>
      <c r="C136" s="2">
        <v>0.51</v>
      </c>
      <c r="D136" s="2">
        <v>0.16420000000000001</v>
      </c>
      <c r="E136" s="2">
        <v>3</v>
      </c>
      <c r="F136" s="2">
        <v>66</v>
      </c>
      <c r="G136" s="2">
        <v>69</v>
      </c>
      <c r="H136" s="4" t="str">
        <f>IF(Table13[[#This Row],[cnt]]&gt;100,"High","Low")</f>
        <v>Low</v>
      </c>
    </row>
    <row r="137" spans="1:8" ht="14.25" x14ac:dyDescent="0.2">
      <c r="A137" s="2">
        <v>136</v>
      </c>
      <c r="B137" s="2">
        <v>0.21210000000000001</v>
      </c>
      <c r="C137" s="2">
        <v>0.55000000000000004</v>
      </c>
      <c r="D137" s="2">
        <v>0.22389999999999999</v>
      </c>
      <c r="E137" s="2">
        <v>0</v>
      </c>
      <c r="F137" s="2">
        <v>48</v>
      </c>
      <c r="G137" s="2">
        <v>48</v>
      </c>
      <c r="H137" s="4" t="str">
        <f>IF(Table13[[#This Row],[cnt]]&gt;100,"High","Low")</f>
        <v>Low</v>
      </c>
    </row>
    <row r="138" spans="1:8" ht="14.25" x14ac:dyDescent="0.2">
      <c r="A138" s="2">
        <v>137</v>
      </c>
      <c r="B138" s="2">
        <v>0.21210000000000001</v>
      </c>
      <c r="C138" s="2">
        <v>0.51</v>
      </c>
      <c r="D138" s="2">
        <v>0.28360000000000002</v>
      </c>
      <c r="E138" s="2">
        <v>1</v>
      </c>
      <c r="F138" s="2">
        <v>51</v>
      </c>
      <c r="G138" s="2">
        <v>52</v>
      </c>
      <c r="H138" s="4" t="str">
        <f>IF(Table13[[#This Row],[cnt]]&gt;100,"High","Low")</f>
        <v>Low</v>
      </c>
    </row>
    <row r="139" spans="1:8" ht="14.25" x14ac:dyDescent="0.2">
      <c r="A139" s="2">
        <v>138</v>
      </c>
      <c r="B139" s="2">
        <v>0.19700000000000001</v>
      </c>
      <c r="C139" s="2">
        <v>0.59</v>
      </c>
      <c r="D139" s="2">
        <v>0.19400000000000001</v>
      </c>
      <c r="E139" s="2">
        <v>4</v>
      </c>
      <c r="F139" s="2">
        <v>19</v>
      </c>
      <c r="G139" s="2">
        <v>23</v>
      </c>
      <c r="H139" s="4" t="str">
        <f>IF(Table13[[#This Row],[cnt]]&gt;100,"High","Low")</f>
        <v>Low</v>
      </c>
    </row>
    <row r="140" spans="1:8" ht="14.25" x14ac:dyDescent="0.2">
      <c r="A140" s="2">
        <v>139</v>
      </c>
      <c r="B140" s="2">
        <v>0.19700000000000001</v>
      </c>
      <c r="C140" s="2">
        <v>0.64</v>
      </c>
      <c r="D140" s="2">
        <v>0.19400000000000001</v>
      </c>
      <c r="E140" s="2">
        <v>4</v>
      </c>
      <c r="F140" s="2">
        <v>13</v>
      </c>
      <c r="G140" s="2">
        <v>17</v>
      </c>
      <c r="H140" s="4" t="str">
        <f>IF(Table13[[#This Row],[cnt]]&gt;100,"High","Low")</f>
        <v>Low</v>
      </c>
    </row>
    <row r="141" spans="1:8" ht="14.25" x14ac:dyDescent="0.2">
      <c r="A141" s="2">
        <v>140</v>
      </c>
      <c r="B141" s="2">
        <v>0.19700000000000001</v>
      </c>
      <c r="C141" s="2">
        <v>0.69</v>
      </c>
      <c r="D141" s="2">
        <v>0.22389999999999999</v>
      </c>
      <c r="E141" s="2">
        <v>2</v>
      </c>
      <c r="F141" s="2">
        <v>5</v>
      </c>
      <c r="G141" s="2">
        <v>7</v>
      </c>
      <c r="H141" s="4" t="str">
        <f>IF(Table13[[#This Row],[cnt]]&gt;100,"High","Low")</f>
        <v>Low</v>
      </c>
    </row>
    <row r="142" spans="1:8" ht="14.25" x14ac:dyDescent="0.2">
      <c r="A142" s="2">
        <v>141</v>
      </c>
      <c r="B142" s="2">
        <v>0.19700000000000001</v>
      </c>
      <c r="C142" s="2">
        <v>0.69</v>
      </c>
      <c r="D142" s="2">
        <v>0.22389999999999999</v>
      </c>
      <c r="E142" s="2">
        <v>0</v>
      </c>
      <c r="F142" s="2">
        <v>1</v>
      </c>
      <c r="G142" s="2">
        <v>1</v>
      </c>
      <c r="H142" s="4" t="str">
        <f>IF(Table13[[#This Row],[cnt]]&gt;100,"High","Low")</f>
        <v>Low</v>
      </c>
    </row>
    <row r="143" spans="1:8" ht="14.25" x14ac:dyDescent="0.2">
      <c r="A143" s="2">
        <v>142</v>
      </c>
      <c r="B143" s="2">
        <v>0.21210000000000001</v>
      </c>
      <c r="C143" s="2">
        <v>0.69</v>
      </c>
      <c r="D143" s="2">
        <v>0.1343</v>
      </c>
      <c r="E143" s="2">
        <v>0</v>
      </c>
      <c r="F143" s="2">
        <v>1</v>
      </c>
      <c r="G143" s="2">
        <v>1</v>
      </c>
      <c r="H143" s="4" t="str">
        <f>IF(Table13[[#This Row],[cnt]]&gt;100,"High","Low")</f>
        <v>Low</v>
      </c>
    </row>
    <row r="144" spans="1:8" ht="14.25" x14ac:dyDescent="0.2">
      <c r="A144" s="2">
        <v>143</v>
      </c>
      <c r="B144" s="2">
        <v>0.2727</v>
      </c>
      <c r="C144" s="2">
        <v>0.55000000000000004</v>
      </c>
      <c r="D144" s="2">
        <v>0</v>
      </c>
      <c r="E144" s="2">
        <v>0</v>
      </c>
      <c r="F144" s="2">
        <v>5</v>
      </c>
      <c r="G144" s="2">
        <v>5</v>
      </c>
      <c r="H144" s="4" t="str">
        <f>IF(Table13[[#This Row],[cnt]]&gt;100,"High","Low")</f>
        <v>Low</v>
      </c>
    </row>
    <row r="145" spans="1:8" ht="14.25" x14ac:dyDescent="0.2">
      <c r="A145" s="2">
        <v>144</v>
      </c>
      <c r="B145" s="2">
        <v>0.2576</v>
      </c>
      <c r="C145" s="2">
        <v>0.69</v>
      </c>
      <c r="D145" s="2">
        <v>0</v>
      </c>
      <c r="E145" s="2">
        <v>8</v>
      </c>
      <c r="F145" s="2">
        <v>26</v>
      </c>
      <c r="G145" s="2">
        <v>34</v>
      </c>
      <c r="H145" s="4" t="str">
        <f>IF(Table13[[#This Row],[cnt]]&gt;100,"High","Low")</f>
        <v>Low</v>
      </c>
    </row>
    <row r="146" spans="1:8" ht="14.25" x14ac:dyDescent="0.2">
      <c r="A146" s="2">
        <v>145</v>
      </c>
      <c r="B146" s="2">
        <v>0.21210000000000001</v>
      </c>
      <c r="C146" s="2">
        <v>0.69</v>
      </c>
      <c r="D146" s="2">
        <v>0.1343</v>
      </c>
      <c r="E146" s="2">
        <v>8</v>
      </c>
      <c r="F146" s="2">
        <v>76</v>
      </c>
      <c r="G146" s="2">
        <v>84</v>
      </c>
      <c r="H146" s="4" t="str">
        <f>IF(Table13[[#This Row],[cnt]]&gt;100,"High","Low")</f>
        <v>Low</v>
      </c>
    </row>
    <row r="147" spans="1:8" ht="14.25" x14ac:dyDescent="0.2">
      <c r="A147" s="2">
        <v>146</v>
      </c>
      <c r="B147" s="2">
        <v>0.19700000000000001</v>
      </c>
      <c r="C147" s="2">
        <v>0.51</v>
      </c>
      <c r="D147" s="2">
        <v>0.25369999999999998</v>
      </c>
      <c r="E147" s="2">
        <v>20</v>
      </c>
      <c r="F147" s="2">
        <v>190</v>
      </c>
      <c r="G147" s="2">
        <v>210</v>
      </c>
      <c r="H147" s="4" t="str">
        <f>IF(Table13[[#This Row],[cnt]]&gt;100,"High","Low")</f>
        <v>High</v>
      </c>
    </row>
    <row r="148" spans="1:8" ht="14.25" x14ac:dyDescent="0.2">
      <c r="A148" s="2">
        <v>147</v>
      </c>
      <c r="B148" s="2">
        <v>0.18179999999999999</v>
      </c>
      <c r="C148" s="2">
        <v>0.47</v>
      </c>
      <c r="D148" s="2">
        <v>0.29849999999999999</v>
      </c>
      <c r="E148" s="2">
        <v>9</v>
      </c>
      <c r="F148" s="2">
        <v>125</v>
      </c>
      <c r="G148" s="2">
        <v>134</v>
      </c>
      <c r="H148" s="4" t="str">
        <f>IF(Table13[[#This Row],[cnt]]&gt;100,"High","Low")</f>
        <v>High</v>
      </c>
    </row>
    <row r="149" spans="1:8" ht="14.25" x14ac:dyDescent="0.2">
      <c r="A149" s="2">
        <v>148</v>
      </c>
      <c r="B149" s="2">
        <v>0.19700000000000001</v>
      </c>
      <c r="C149" s="2">
        <v>0.37</v>
      </c>
      <c r="D149" s="2">
        <v>0.32840000000000003</v>
      </c>
      <c r="E149" s="2">
        <v>16</v>
      </c>
      <c r="F149" s="2">
        <v>47</v>
      </c>
      <c r="G149" s="2">
        <v>63</v>
      </c>
      <c r="H149" s="4" t="str">
        <f>IF(Table13[[#This Row],[cnt]]&gt;100,"High","Low")</f>
        <v>Low</v>
      </c>
    </row>
    <row r="150" spans="1:8" ht="14.25" x14ac:dyDescent="0.2">
      <c r="A150" s="2">
        <v>149</v>
      </c>
      <c r="B150" s="2">
        <v>0.19700000000000001</v>
      </c>
      <c r="C150" s="2">
        <v>0.4</v>
      </c>
      <c r="D150" s="2">
        <v>0.22389999999999999</v>
      </c>
      <c r="E150" s="2">
        <v>19</v>
      </c>
      <c r="F150" s="2">
        <v>48</v>
      </c>
      <c r="G150" s="2">
        <v>67</v>
      </c>
      <c r="H150" s="4" t="str">
        <f>IF(Table13[[#This Row],[cnt]]&gt;100,"High","Low")</f>
        <v>Low</v>
      </c>
    </row>
    <row r="151" spans="1:8" ht="14.25" x14ac:dyDescent="0.2">
      <c r="A151" s="2">
        <v>150</v>
      </c>
      <c r="B151" s="2">
        <v>0.19700000000000001</v>
      </c>
      <c r="C151" s="2">
        <v>0.37</v>
      </c>
      <c r="D151" s="2">
        <v>0.25369999999999998</v>
      </c>
      <c r="E151" s="2">
        <v>9</v>
      </c>
      <c r="F151" s="2">
        <v>50</v>
      </c>
      <c r="G151" s="2">
        <v>59</v>
      </c>
      <c r="H151" s="4" t="str">
        <f>IF(Table13[[#This Row],[cnt]]&gt;100,"High","Low")</f>
        <v>Low</v>
      </c>
    </row>
    <row r="152" spans="1:8" ht="14.25" x14ac:dyDescent="0.2">
      <c r="A152" s="2">
        <v>151</v>
      </c>
      <c r="B152" s="2">
        <v>0.18179999999999999</v>
      </c>
      <c r="C152" s="2">
        <v>0.37</v>
      </c>
      <c r="D152" s="2">
        <v>0.28360000000000002</v>
      </c>
      <c r="E152" s="2">
        <v>9</v>
      </c>
      <c r="F152" s="2">
        <v>64</v>
      </c>
      <c r="G152" s="2">
        <v>73</v>
      </c>
      <c r="H152" s="4" t="str">
        <f>IF(Table13[[#This Row],[cnt]]&gt;100,"High","Low")</f>
        <v>Low</v>
      </c>
    </row>
    <row r="153" spans="1:8" ht="14.25" x14ac:dyDescent="0.2">
      <c r="A153" s="2">
        <v>152</v>
      </c>
      <c r="B153" s="2">
        <v>0.19700000000000001</v>
      </c>
      <c r="C153" s="2">
        <v>0.4</v>
      </c>
      <c r="D153" s="2">
        <v>0.25369999999999998</v>
      </c>
      <c r="E153" s="2">
        <v>7</v>
      </c>
      <c r="F153" s="2">
        <v>43</v>
      </c>
      <c r="G153" s="2">
        <v>50</v>
      </c>
      <c r="H153" s="4" t="str">
        <f>IF(Table13[[#This Row],[cnt]]&gt;100,"High","Low")</f>
        <v>Low</v>
      </c>
    </row>
    <row r="154" spans="1:8" ht="14.25" x14ac:dyDescent="0.2">
      <c r="A154" s="2">
        <v>153</v>
      </c>
      <c r="B154" s="2">
        <v>0.21210000000000001</v>
      </c>
      <c r="C154" s="2">
        <v>0.37</v>
      </c>
      <c r="D154" s="2">
        <v>0.16420000000000001</v>
      </c>
      <c r="E154" s="2">
        <v>9</v>
      </c>
      <c r="F154" s="2">
        <v>63</v>
      </c>
      <c r="G154" s="2">
        <v>72</v>
      </c>
      <c r="H154" s="4" t="str">
        <f>IF(Table13[[#This Row],[cnt]]&gt;100,"High","Low")</f>
        <v>Low</v>
      </c>
    </row>
    <row r="155" spans="1:8" ht="14.25" x14ac:dyDescent="0.2">
      <c r="A155" s="2">
        <v>154</v>
      </c>
      <c r="B155" s="2">
        <v>0.21210000000000001</v>
      </c>
      <c r="C155" s="2">
        <v>0.37</v>
      </c>
      <c r="D155" s="2">
        <v>0.16420000000000001</v>
      </c>
      <c r="E155" s="2">
        <v>5</v>
      </c>
      <c r="F155" s="2">
        <v>82</v>
      </c>
      <c r="G155" s="2">
        <v>87</v>
      </c>
      <c r="H155" s="4" t="str">
        <f>IF(Table13[[#This Row],[cnt]]&gt;100,"High","Low")</f>
        <v>Low</v>
      </c>
    </row>
    <row r="156" spans="1:8" ht="14.25" x14ac:dyDescent="0.2">
      <c r="A156" s="2">
        <v>155</v>
      </c>
      <c r="B156" s="2">
        <v>0.2576</v>
      </c>
      <c r="C156" s="2">
        <v>0.37</v>
      </c>
      <c r="D156" s="2">
        <v>0</v>
      </c>
      <c r="E156" s="2">
        <v>9</v>
      </c>
      <c r="F156" s="2">
        <v>178</v>
      </c>
      <c r="G156" s="2">
        <v>187</v>
      </c>
      <c r="H156" s="4" t="str">
        <f>IF(Table13[[#This Row],[cnt]]&gt;100,"High","Low")</f>
        <v>High</v>
      </c>
    </row>
    <row r="157" spans="1:8" ht="14.25" x14ac:dyDescent="0.2">
      <c r="A157" s="2">
        <v>156</v>
      </c>
      <c r="B157" s="2">
        <v>0.2273</v>
      </c>
      <c r="C157" s="2">
        <v>0.4</v>
      </c>
      <c r="D157" s="2">
        <v>8.9599999999999999E-2</v>
      </c>
      <c r="E157" s="2">
        <v>7</v>
      </c>
      <c r="F157" s="2">
        <v>116</v>
      </c>
      <c r="G157" s="2">
        <v>123</v>
      </c>
      <c r="H157" s="4" t="str">
        <f>IF(Table13[[#This Row],[cnt]]&gt;100,"High","Low")</f>
        <v>High</v>
      </c>
    </row>
    <row r="158" spans="1:8" ht="14.25" x14ac:dyDescent="0.2">
      <c r="A158" s="2">
        <v>157</v>
      </c>
      <c r="B158" s="2">
        <v>0.19700000000000001</v>
      </c>
      <c r="C158" s="2">
        <v>0.55000000000000004</v>
      </c>
      <c r="D158" s="2">
        <v>8.9599999999999999E-2</v>
      </c>
      <c r="E158" s="2">
        <v>3</v>
      </c>
      <c r="F158" s="2">
        <v>92</v>
      </c>
      <c r="G158" s="2">
        <v>95</v>
      </c>
      <c r="H158" s="4" t="str">
        <f>IF(Table13[[#This Row],[cnt]]&gt;100,"High","Low")</f>
        <v>Low</v>
      </c>
    </row>
    <row r="159" spans="1:8" ht="14.25" x14ac:dyDescent="0.2">
      <c r="A159" s="2">
        <v>158</v>
      </c>
      <c r="B159" s="2">
        <v>0.21210000000000001</v>
      </c>
      <c r="C159" s="2">
        <v>0.47</v>
      </c>
      <c r="D159" s="2">
        <v>0.1045</v>
      </c>
      <c r="E159" s="2">
        <v>1</v>
      </c>
      <c r="F159" s="2">
        <v>50</v>
      </c>
      <c r="G159" s="2">
        <v>51</v>
      </c>
      <c r="H159" s="4" t="str">
        <f>IF(Table13[[#This Row],[cnt]]&gt;100,"High","Low")</f>
        <v>Low</v>
      </c>
    </row>
    <row r="160" spans="1:8" ht="14.25" x14ac:dyDescent="0.2">
      <c r="A160" s="2">
        <v>159</v>
      </c>
      <c r="B160" s="2">
        <v>0.19700000000000001</v>
      </c>
      <c r="C160" s="2">
        <v>0.47</v>
      </c>
      <c r="D160" s="2">
        <v>0.1343</v>
      </c>
      <c r="E160" s="2">
        <v>0</v>
      </c>
      <c r="F160" s="2">
        <v>39</v>
      </c>
      <c r="G160" s="2">
        <v>39</v>
      </c>
      <c r="H160" s="4" t="str">
        <f>IF(Table13[[#This Row],[cnt]]&gt;100,"High","Low")</f>
        <v>Low</v>
      </c>
    </row>
    <row r="161" spans="1:8" ht="14.25" x14ac:dyDescent="0.2">
      <c r="A161" s="2">
        <v>160</v>
      </c>
      <c r="B161" s="2">
        <v>0.19700000000000001</v>
      </c>
      <c r="C161" s="2">
        <v>0.43</v>
      </c>
      <c r="D161" s="2">
        <v>0.16420000000000001</v>
      </c>
      <c r="E161" s="2">
        <v>2</v>
      </c>
      <c r="F161" s="2">
        <v>34</v>
      </c>
      <c r="G161" s="2">
        <v>36</v>
      </c>
      <c r="H161" s="4" t="str">
        <f>IF(Table13[[#This Row],[cnt]]&gt;100,"High","Low")</f>
        <v>Low</v>
      </c>
    </row>
    <row r="162" spans="1:8" ht="14.25" x14ac:dyDescent="0.2">
      <c r="A162" s="2">
        <v>161</v>
      </c>
      <c r="B162" s="2">
        <v>0.19700000000000001</v>
      </c>
      <c r="C162" s="2">
        <v>0.51</v>
      </c>
      <c r="D162" s="2">
        <v>0.16420000000000001</v>
      </c>
      <c r="E162" s="2">
        <v>1</v>
      </c>
      <c r="F162" s="2">
        <v>14</v>
      </c>
      <c r="G162" s="2">
        <v>15</v>
      </c>
      <c r="H162" s="4" t="str">
        <f>IF(Table13[[#This Row],[cnt]]&gt;100,"High","Low")</f>
        <v>Low</v>
      </c>
    </row>
    <row r="163" spans="1:8" ht="14.25" x14ac:dyDescent="0.2">
      <c r="A163" s="2">
        <v>162</v>
      </c>
      <c r="B163" s="2">
        <v>0.19700000000000001</v>
      </c>
      <c r="C163" s="2">
        <v>0.51</v>
      </c>
      <c r="D163" s="2">
        <v>0.16420000000000001</v>
      </c>
      <c r="E163" s="2">
        <v>1</v>
      </c>
      <c r="F163" s="2">
        <v>24</v>
      </c>
      <c r="G163" s="2">
        <v>25</v>
      </c>
      <c r="H163" s="4" t="str">
        <f>IF(Table13[[#This Row],[cnt]]&gt;100,"High","Low")</f>
        <v>Low</v>
      </c>
    </row>
    <row r="164" spans="1:8" ht="14.25" x14ac:dyDescent="0.2">
      <c r="A164" s="2">
        <v>163</v>
      </c>
      <c r="B164" s="2">
        <v>0.21210000000000001</v>
      </c>
      <c r="C164" s="2">
        <v>0.55000000000000004</v>
      </c>
      <c r="D164" s="2">
        <v>8.9599999999999999E-2</v>
      </c>
      <c r="E164" s="2">
        <v>1</v>
      </c>
      <c r="F164" s="2">
        <v>15</v>
      </c>
      <c r="G164" s="2">
        <v>16</v>
      </c>
      <c r="H164" s="4" t="str">
        <f>IF(Table13[[#This Row],[cnt]]&gt;100,"High","Low")</f>
        <v>Low</v>
      </c>
    </row>
    <row r="165" spans="1:8" ht="14.25" x14ac:dyDescent="0.2">
      <c r="A165" s="2">
        <v>164</v>
      </c>
      <c r="B165" s="2">
        <v>0.2424</v>
      </c>
      <c r="C165" s="2">
        <v>0.55000000000000004</v>
      </c>
      <c r="D165" s="2">
        <v>0</v>
      </c>
      <c r="E165" s="2">
        <v>3</v>
      </c>
      <c r="F165" s="2">
        <v>13</v>
      </c>
      <c r="G165" s="2">
        <v>16</v>
      </c>
      <c r="H165" s="4" t="str">
        <f>IF(Table13[[#This Row],[cnt]]&gt;100,"High","Low")</f>
        <v>Low</v>
      </c>
    </row>
    <row r="166" spans="1:8" ht="14.25" x14ac:dyDescent="0.2">
      <c r="A166" s="2">
        <v>165</v>
      </c>
      <c r="B166" s="2">
        <v>0.19700000000000001</v>
      </c>
      <c r="C166" s="2">
        <v>0.55000000000000004</v>
      </c>
      <c r="D166" s="2">
        <v>0.16420000000000001</v>
      </c>
      <c r="E166" s="2">
        <v>0</v>
      </c>
      <c r="F166" s="2">
        <v>7</v>
      </c>
      <c r="G166" s="2">
        <v>7</v>
      </c>
      <c r="H166" s="4" t="str">
        <f>IF(Table13[[#This Row],[cnt]]&gt;100,"High","Low")</f>
        <v>Low</v>
      </c>
    </row>
    <row r="167" spans="1:8" ht="14.25" x14ac:dyDescent="0.2">
      <c r="A167" s="2">
        <v>166</v>
      </c>
      <c r="B167" s="2">
        <v>0.19700000000000001</v>
      </c>
      <c r="C167" s="2">
        <v>0.55000000000000004</v>
      </c>
      <c r="D167" s="2">
        <v>0.16420000000000001</v>
      </c>
      <c r="E167" s="2">
        <v>0</v>
      </c>
      <c r="F167" s="2">
        <v>1</v>
      </c>
      <c r="G167" s="2">
        <v>1</v>
      </c>
      <c r="H167" s="4" t="str">
        <f>IF(Table13[[#This Row],[cnt]]&gt;100,"High","Low")</f>
        <v>Low</v>
      </c>
    </row>
    <row r="168" spans="1:8" ht="14.25" x14ac:dyDescent="0.2">
      <c r="A168" s="2">
        <v>167</v>
      </c>
      <c r="B168" s="2">
        <v>0.16669999999999999</v>
      </c>
      <c r="C168" s="2">
        <v>0.74</v>
      </c>
      <c r="D168" s="2">
        <v>0.16420000000000001</v>
      </c>
      <c r="E168" s="2">
        <v>0</v>
      </c>
      <c r="F168" s="2">
        <v>5</v>
      </c>
      <c r="G168" s="2">
        <v>5</v>
      </c>
      <c r="H168" s="4" t="str">
        <f>IF(Table13[[#This Row],[cnt]]&gt;100,"High","Low")</f>
        <v>Low</v>
      </c>
    </row>
    <row r="169" spans="1:8" ht="14.25" x14ac:dyDescent="0.2">
      <c r="A169" s="2">
        <v>168</v>
      </c>
      <c r="B169" s="2">
        <v>0.16669999999999999</v>
      </c>
      <c r="C169" s="2">
        <v>0.74</v>
      </c>
      <c r="D169" s="2">
        <v>0.16420000000000001</v>
      </c>
      <c r="E169" s="2">
        <v>0</v>
      </c>
      <c r="F169" s="2">
        <v>2</v>
      </c>
      <c r="G169" s="2">
        <v>2</v>
      </c>
      <c r="H169" s="4" t="str">
        <f>IF(Table13[[#This Row],[cnt]]&gt;100,"High","Low")</f>
        <v>Low</v>
      </c>
    </row>
    <row r="170" spans="1:8" ht="14.25" x14ac:dyDescent="0.2">
      <c r="A170" s="2">
        <v>169</v>
      </c>
      <c r="B170" s="2">
        <v>0.18179999999999999</v>
      </c>
      <c r="C170" s="2">
        <v>0.74</v>
      </c>
      <c r="D170" s="2">
        <v>0.1045</v>
      </c>
      <c r="E170" s="2">
        <v>1</v>
      </c>
      <c r="F170" s="2">
        <v>8</v>
      </c>
      <c r="G170" s="2">
        <v>9</v>
      </c>
      <c r="H170" s="4" t="str">
        <f>IF(Table13[[#This Row],[cnt]]&gt;100,"High","Low")</f>
        <v>Low</v>
      </c>
    </row>
    <row r="171" spans="1:8" ht="14.25" x14ac:dyDescent="0.2">
      <c r="A171" s="2">
        <v>170</v>
      </c>
      <c r="B171" s="2">
        <v>0.18179999999999999</v>
      </c>
      <c r="C171" s="2">
        <v>0.93</v>
      </c>
      <c r="D171" s="2">
        <v>0.1045</v>
      </c>
      <c r="E171" s="2">
        <v>0</v>
      </c>
      <c r="F171" s="2">
        <v>15</v>
      </c>
      <c r="G171" s="2">
        <v>15</v>
      </c>
      <c r="H171" s="4" t="str">
        <f>IF(Table13[[#This Row],[cnt]]&gt;100,"High","Low")</f>
        <v>Low</v>
      </c>
    </row>
    <row r="172" spans="1:8" ht="14.25" x14ac:dyDescent="0.2">
      <c r="A172" s="2">
        <v>171</v>
      </c>
      <c r="B172" s="2">
        <v>0.18179999999999999</v>
      </c>
      <c r="C172" s="2">
        <v>0.93</v>
      </c>
      <c r="D172" s="2">
        <v>0.1045</v>
      </c>
      <c r="E172" s="2">
        <v>0</v>
      </c>
      <c r="F172" s="2">
        <v>20</v>
      </c>
      <c r="G172" s="2">
        <v>20</v>
      </c>
      <c r="H172" s="4" t="str">
        <f>IF(Table13[[#This Row],[cnt]]&gt;100,"High","Low")</f>
        <v>Low</v>
      </c>
    </row>
    <row r="173" spans="1:8" ht="14.25" x14ac:dyDescent="0.2">
      <c r="A173" s="2">
        <v>172</v>
      </c>
      <c r="B173" s="2">
        <v>0.19700000000000001</v>
      </c>
      <c r="C173" s="2">
        <v>0.8</v>
      </c>
      <c r="D173" s="2">
        <v>0.16420000000000001</v>
      </c>
      <c r="E173" s="2">
        <v>5</v>
      </c>
      <c r="F173" s="2">
        <v>56</v>
      </c>
      <c r="G173" s="2">
        <v>61</v>
      </c>
      <c r="H173" s="4" t="str">
        <f>IF(Table13[[#This Row],[cnt]]&gt;100,"High","Low")</f>
        <v>Low</v>
      </c>
    </row>
    <row r="174" spans="1:8" ht="14.25" x14ac:dyDescent="0.2">
      <c r="A174" s="2">
        <v>173</v>
      </c>
      <c r="B174" s="2">
        <v>0.18179999999999999</v>
      </c>
      <c r="C174" s="2">
        <v>0.69</v>
      </c>
      <c r="D174" s="2">
        <v>0.3881</v>
      </c>
      <c r="E174" s="2">
        <v>2</v>
      </c>
      <c r="F174" s="2">
        <v>60</v>
      </c>
      <c r="G174" s="2">
        <v>62</v>
      </c>
      <c r="H174" s="4" t="str">
        <f>IF(Table13[[#This Row],[cnt]]&gt;100,"High","Low")</f>
        <v>Low</v>
      </c>
    </row>
    <row r="175" spans="1:8" ht="14.25" x14ac:dyDescent="0.2">
      <c r="A175" s="2">
        <v>174</v>
      </c>
      <c r="B175" s="2">
        <v>0.18179999999999999</v>
      </c>
      <c r="C175" s="2">
        <v>0.59</v>
      </c>
      <c r="D175" s="2">
        <v>0.35820000000000002</v>
      </c>
      <c r="E175" s="2">
        <v>8</v>
      </c>
      <c r="F175" s="2">
        <v>90</v>
      </c>
      <c r="G175" s="2">
        <v>98</v>
      </c>
      <c r="H175" s="4" t="str">
        <f>IF(Table13[[#This Row],[cnt]]&gt;100,"High","Low")</f>
        <v>Low</v>
      </c>
    </row>
    <row r="176" spans="1:8" ht="14.25" x14ac:dyDescent="0.2">
      <c r="A176" s="2">
        <v>175</v>
      </c>
      <c r="B176" s="2">
        <v>0.18179999999999999</v>
      </c>
      <c r="C176" s="2">
        <v>0.44</v>
      </c>
      <c r="D176" s="2">
        <v>0.32840000000000003</v>
      </c>
      <c r="E176" s="2">
        <v>7</v>
      </c>
      <c r="F176" s="2">
        <v>95</v>
      </c>
      <c r="G176" s="2">
        <v>102</v>
      </c>
      <c r="H176" s="4" t="str">
        <f>IF(Table13[[#This Row],[cnt]]&gt;100,"High","Low")</f>
        <v>High</v>
      </c>
    </row>
    <row r="177" spans="1:8" ht="14.25" x14ac:dyDescent="0.2">
      <c r="A177" s="2">
        <v>176</v>
      </c>
      <c r="B177" s="2">
        <v>0.16669999999999999</v>
      </c>
      <c r="C177" s="2">
        <v>0.32</v>
      </c>
      <c r="D177" s="2">
        <v>0.49249999999999999</v>
      </c>
      <c r="E177" s="2">
        <v>12</v>
      </c>
      <c r="F177" s="2">
        <v>83</v>
      </c>
      <c r="G177" s="2">
        <v>95</v>
      </c>
      <c r="H177" s="4" t="str">
        <f>IF(Table13[[#This Row],[cnt]]&gt;100,"High","Low")</f>
        <v>Low</v>
      </c>
    </row>
    <row r="178" spans="1:8" ht="14.25" x14ac:dyDescent="0.2">
      <c r="A178" s="2">
        <v>177</v>
      </c>
      <c r="B178" s="2">
        <v>0.16669999999999999</v>
      </c>
      <c r="C178" s="2">
        <v>0.32</v>
      </c>
      <c r="D178" s="2">
        <v>0.44779999999999998</v>
      </c>
      <c r="E178" s="2">
        <v>5</v>
      </c>
      <c r="F178" s="2">
        <v>69</v>
      </c>
      <c r="G178" s="2">
        <v>74</v>
      </c>
      <c r="H178" s="4" t="str">
        <f>IF(Table13[[#This Row],[cnt]]&gt;100,"High","Low")</f>
        <v>Low</v>
      </c>
    </row>
    <row r="179" spans="1:8" ht="14.25" x14ac:dyDescent="0.2">
      <c r="A179" s="2">
        <v>178</v>
      </c>
      <c r="B179" s="2">
        <v>0.13639999999999999</v>
      </c>
      <c r="C179" s="2">
        <v>0.28999999999999998</v>
      </c>
      <c r="D179" s="2">
        <v>0.44779999999999998</v>
      </c>
      <c r="E179" s="2">
        <v>8</v>
      </c>
      <c r="F179" s="2">
        <v>68</v>
      </c>
      <c r="G179" s="2">
        <v>76</v>
      </c>
      <c r="H179" s="4" t="str">
        <f>IF(Table13[[#This Row],[cnt]]&gt;100,"High","Low")</f>
        <v>Low</v>
      </c>
    </row>
    <row r="180" spans="1:8" ht="14.25" x14ac:dyDescent="0.2">
      <c r="A180" s="2">
        <v>179</v>
      </c>
      <c r="B180" s="2">
        <v>0.1212</v>
      </c>
      <c r="C180" s="2">
        <v>0.37</v>
      </c>
      <c r="D180" s="2">
        <v>0.55220000000000002</v>
      </c>
      <c r="E180" s="2">
        <v>5</v>
      </c>
      <c r="F180" s="2">
        <v>64</v>
      </c>
      <c r="G180" s="2">
        <v>69</v>
      </c>
      <c r="H180" s="4" t="str">
        <f>IF(Table13[[#This Row],[cnt]]&gt;100,"High","Low")</f>
        <v>Low</v>
      </c>
    </row>
    <row r="181" spans="1:8" ht="14.25" x14ac:dyDescent="0.2">
      <c r="A181" s="2">
        <v>180</v>
      </c>
      <c r="B181" s="2">
        <v>0.1212</v>
      </c>
      <c r="C181" s="2">
        <v>0.39</v>
      </c>
      <c r="D181" s="2">
        <v>0.29849999999999999</v>
      </c>
      <c r="E181" s="2">
        <v>3</v>
      </c>
      <c r="F181" s="2">
        <v>52</v>
      </c>
      <c r="G181" s="2">
        <v>55</v>
      </c>
      <c r="H181" s="4" t="str">
        <f>IF(Table13[[#This Row],[cnt]]&gt;100,"High","Low")</f>
        <v>Low</v>
      </c>
    </row>
    <row r="182" spans="1:8" ht="14.25" x14ac:dyDescent="0.2">
      <c r="A182" s="2">
        <v>181</v>
      </c>
      <c r="B182" s="2">
        <v>0.1212</v>
      </c>
      <c r="C182" s="2">
        <v>0.36</v>
      </c>
      <c r="D182" s="2">
        <v>0.25369999999999998</v>
      </c>
      <c r="E182" s="2">
        <v>4</v>
      </c>
      <c r="F182" s="2">
        <v>26</v>
      </c>
      <c r="G182" s="2">
        <v>30</v>
      </c>
      <c r="H182" s="4" t="str">
        <f>IF(Table13[[#This Row],[cnt]]&gt;100,"High","Low")</f>
        <v>Low</v>
      </c>
    </row>
    <row r="183" spans="1:8" ht="14.25" x14ac:dyDescent="0.2">
      <c r="A183" s="2">
        <v>182</v>
      </c>
      <c r="B183" s="2">
        <v>0.1212</v>
      </c>
      <c r="C183" s="2">
        <v>0.36</v>
      </c>
      <c r="D183" s="2">
        <v>0.25369999999999998</v>
      </c>
      <c r="E183" s="2">
        <v>0</v>
      </c>
      <c r="F183" s="2">
        <v>28</v>
      </c>
      <c r="G183" s="2">
        <v>28</v>
      </c>
      <c r="H183" s="4" t="str">
        <f>IF(Table13[[#This Row],[cnt]]&gt;100,"High","Low")</f>
        <v>Low</v>
      </c>
    </row>
    <row r="184" spans="1:8" ht="14.25" x14ac:dyDescent="0.2">
      <c r="A184" s="2">
        <v>183</v>
      </c>
      <c r="B184" s="2">
        <v>0.1061</v>
      </c>
      <c r="C184" s="2">
        <v>0.39</v>
      </c>
      <c r="D184" s="2">
        <v>0.35820000000000002</v>
      </c>
      <c r="E184" s="2">
        <v>2</v>
      </c>
      <c r="F184" s="2">
        <v>35</v>
      </c>
      <c r="G184" s="2">
        <v>37</v>
      </c>
      <c r="H184" s="4" t="str">
        <f>IF(Table13[[#This Row],[cnt]]&gt;100,"High","Low")</f>
        <v>Low</v>
      </c>
    </row>
    <row r="185" spans="1:8" ht="14.25" x14ac:dyDescent="0.2">
      <c r="A185" s="2">
        <v>184</v>
      </c>
      <c r="B185" s="2">
        <v>0.1061</v>
      </c>
      <c r="C185" s="2">
        <v>0.36</v>
      </c>
      <c r="D185" s="2">
        <v>0.3881</v>
      </c>
      <c r="E185" s="2">
        <v>1</v>
      </c>
      <c r="F185" s="2">
        <v>33</v>
      </c>
      <c r="G185" s="2">
        <v>34</v>
      </c>
      <c r="H185" s="4" t="str">
        <f>IF(Table13[[#This Row],[cnt]]&gt;100,"High","Low")</f>
        <v>Low</v>
      </c>
    </row>
    <row r="186" spans="1:8" ht="14.25" x14ac:dyDescent="0.2">
      <c r="A186" s="2">
        <v>185</v>
      </c>
      <c r="B186" s="2">
        <v>6.0600000000000001E-2</v>
      </c>
      <c r="C186" s="2">
        <v>0.39</v>
      </c>
      <c r="D186" s="2">
        <v>0.44779999999999998</v>
      </c>
      <c r="E186" s="2">
        <v>0</v>
      </c>
      <c r="F186" s="2">
        <v>22</v>
      </c>
      <c r="G186" s="2">
        <v>22</v>
      </c>
      <c r="H186" s="4" t="str">
        <f>IF(Table13[[#This Row],[cnt]]&gt;100,"High","Low")</f>
        <v>Low</v>
      </c>
    </row>
    <row r="187" spans="1:8" ht="14.25" x14ac:dyDescent="0.2">
      <c r="A187" s="2">
        <v>186</v>
      </c>
      <c r="B187" s="2">
        <v>7.5800000000000006E-2</v>
      </c>
      <c r="C187" s="2">
        <v>0.42</v>
      </c>
      <c r="D187" s="2">
        <v>0.3881</v>
      </c>
      <c r="E187" s="2">
        <v>1</v>
      </c>
      <c r="F187" s="2">
        <v>24</v>
      </c>
      <c r="G187" s="2">
        <v>25</v>
      </c>
      <c r="H187" s="4" t="str">
        <f>IF(Table13[[#This Row],[cnt]]&gt;100,"High","Low")</f>
        <v>Low</v>
      </c>
    </row>
    <row r="188" spans="1:8" ht="14.25" x14ac:dyDescent="0.2">
      <c r="A188" s="2">
        <v>187</v>
      </c>
      <c r="B188" s="2">
        <v>6.0600000000000001E-2</v>
      </c>
      <c r="C188" s="2">
        <v>0.42</v>
      </c>
      <c r="D188" s="2">
        <v>0.4627</v>
      </c>
      <c r="E188" s="2">
        <v>0</v>
      </c>
      <c r="F188" s="2">
        <v>12</v>
      </c>
      <c r="G188" s="2">
        <v>12</v>
      </c>
      <c r="H188" s="4" t="str">
        <f>IF(Table13[[#This Row],[cnt]]&gt;100,"High","Low")</f>
        <v>Low</v>
      </c>
    </row>
    <row r="189" spans="1:8" ht="14.25" x14ac:dyDescent="0.2">
      <c r="A189" s="2">
        <v>188</v>
      </c>
      <c r="B189" s="2">
        <v>6.0600000000000001E-2</v>
      </c>
      <c r="C189" s="2">
        <v>0.46</v>
      </c>
      <c r="D189" s="2">
        <v>0.4627</v>
      </c>
      <c r="E189" s="2">
        <v>0</v>
      </c>
      <c r="F189" s="2">
        <v>11</v>
      </c>
      <c r="G189" s="2">
        <v>11</v>
      </c>
      <c r="H189" s="4" t="str">
        <f>IF(Table13[[#This Row],[cnt]]&gt;100,"High","Low")</f>
        <v>Low</v>
      </c>
    </row>
    <row r="190" spans="1:8" ht="14.25" x14ac:dyDescent="0.2">
      <c r="A190" s="2">
        <v>189</v>
      </c>
      <c r="B190" s="2">
        <v>7.5800000000000006E-2</v>
      </c>
      <c r="C190" s="2">
        <v>0.46</v>
      </c>
      <c r="D190" s="2">
        <v>0.41789999999999999</v>
      </c>
      <c r="E190" s="2">
        <v>0</v>
      </c>
      <c r="F190" s="2">
        <v>4</v>
      </c>
      <c r="G190" s="2">
        <v>4</v>
      </c>
      <c r="H190" s="4" t="str">
        <f>IF(Table13[[#This Row],[cnt]]&gt;100,"High","Low")</f>
        <v>Low</v>
      </c>
    </row>
    <row r="191" spans="1:8" ht="14.25" x14ac:dyDescent="0.2">
      <c r="A191" s="2">
        <v>190</v>
      </c>
      <c r="B191" s="2">
        <v>9.0899999999999995E-2</v>
      </c>
      <c r="C191" s="2">
        <v>0.53</v>
      </c>
      <c r="D191" s="2">
        <v>0.19400000000000001</v>
      </c>
      <c r="E191" s="2">
        <v>0</v>
      </c>
      <c r="F191" s="2">
        <v>1</v>
      </c>
      <c r="G191" s="2">
        <v>1</v>
      </c>
      <c r="H191" s="4" t="str">
        <f>IF(Table13[[#This Row],[cnt]]&gt;100,"High","Low")</f>
        <v>Low</v>
      </c>
    </row>
    <row r="192" spans="1:8" ht="14.25" x14ac:dyDescent="0.2">
      <c r="A192" s="2">
        <v>191</v>
      </c>
      <c r="B192" s="2">
        <v>9.0899999999999995E-2</v>
      </c>
      <c r="C192" s="2">
        <v>0.53</v>
      </c>
      <c r="D192" s="2">
        <v>0.19400000000000001</v>
      </c>
      <c r="E192" s="2">
        <v>0</v>
      </c>
      <c r="F192" s="2">
        <v>1</v>
      </c>
      <c r="G192" s="2">
        <v>1</v>
      </c>
      <c r="H192" s="4" t="str">
        <f>IF(Table13[[#This Row],[cnt]]&gt;100,"High","Low")</f>
        <v>Low</v>
      </c>
    </row>
    <row r="193" spans="1:8" ht="14.25" x14ac:dyDescent="0.2">
      <c r="A193" s="2">
        <v>192</v>
      </c>
      <c r="B193" s="2">
        <v>9.0899999999999995E-2</v>
      </c>
      <c r="C193" s="2">
        <v>0.49</v>
      </c>
      <c r="D193" s="2">
        <v>0.28360000000000002</v>
      </c>
      <c r="E193" s="2">
        <v>0</v>
      </c>
      <c r="F193" s="2">
        <v>1</v>
      </c>
      <c r="G193" s="2">
        <v>1</v>
      </c>
      <c r="H193" s="4" t="str">
        <f>IF(Table13[[#This Row],[cnt]]&gt;100,"High","Low")</f>
        <v>Low</v>
      </c>
    </row>
    <row r="194" spans="1:8" ht="14.25" x14ac:dyDescent="0.2">
      <c r="A194" s="2">
        <v>193</v>
      </c>
      <c r="B194" s="2">
        <v>9.0899999999999995E-2</v>
      </c>
      <c r="C194" s="2">
        <v>0.53</v>
      </c>
      <c r="D194" s="2">
        <v>0.19400000000000001</v>
      </c>
      <c r="E194" s="2">
        <v>1</v>
      </c>
      <c r="F194" s="2">
        <v>5</v>
      </c>
      <c r="G194" s="2">
        <v>6</v>
      </c>
      <c r="H194" s="4" t="str">
        <f>IF(Table13[[#This Row],[cnt]]&gt;100,"High","Low")</f>
        <v>Low</v>
      </c>
    </row>
    <row r="195" spans="1:8" ht="14.25" x14ac:dyDescent="0.2">
      <c r="A195" s="2">
        <v>194</v>
      </c>
      <c r="B195" s="2">
        <v>9.0899999999999995E-2</v>
      </c>
      <c r="C195" s="2">
        <v>0.49</v>
      </c>
      <c r="D195" s="2">
        <v>0.28360000000000002</v>
      </c>
      <c r="E195" s="2">
        <v>0</v>
      </c>
      <c r="F195" s="2">
        <v>10</v>
      </c>
      <c r="G195" s="2">
        <v>10</v>
      </c>
      <c r="H195" s="4" t="str">
        <f>IF(Table13[[#This Row],[cnt]]&gt;100,"High","Low")</f>
        <v>Low</v>
      </c>
    </row>
    <row r="196" spans="1:8" ht="14.25" x14ac:dyDescent="0.2">
      <c r="A196" s="2">
        <v>195</v>
      </c>
      <c r="B196" s="2">
        <v>7.5800000000000006E-2</v>
      </c>
      <c r="C196" s="2">
        <v>0.46</v>
      </c>
      <c r="D196" s="2">
        <v>0.52239999999999998</v>
      </c>
      <c r="E196" s="2">
        <v>0</v>
      </c>
      <c r="F196" s="2">
        <v>19</v>
      </c>
      <c r="G196" s="2">
        <v>19</v>
      </c>
      <c r="H196" s="4" t="str">
        <f>IF(Table13[[#This Row],[cnt]]&gt;100,"High","Low")</f>
        <v>Low</v>
      </c>
    </row>
    <row r="197" spans="1:8" ht="14.25" x14ac:dyDescent="0.2">
      <c r="A197" s="2">
        <v>196</v>
      </c>
      <c r="B197" s="2">
        <v>0.1061</v>
      </c>
      <c r="C197" s="2">
        <v>0.43</v>
      </c>
      <c r="D197" s="2">
        <v>0.3881</v>
      </c>
      <c r="E197" s="2">
        <v>0</v>
      </c>
      <c r="F197" s="2">
        <v>49</v>
      </c>
      <c r="G197" s="2">
        <v>49</v>
      </c>
      <c r="H197" s="4" t="str">
        <f>IF(Table13[[#This Row],[cnt]]&gt;100,"High","Low")</f>
        <v>Low</v>
      </c>
    </row>
    <row r="198" spans="1:8" ht="14.25" x14ac:dyDescent="0.2">
      <c r="A198" s="2">
        <v>197</v>
      </c>
      <c r="B198" s="2">
        <v>0.1212</v>
      </c>
      <c r="C198" s="2">
        <v>0.4</v>
      </c>
      <c r="D198" s="2">
        <v>0.52239999999999998</v>
      </c>
      <c r="E198" s="2">
        <v>2</v>
      </c>
      <c r="F198" s="2">
        <v>47</v>
      </c>
      <c r="G198" s="2">
        <v>49</v>
      </c>
      <c r="H198" s="4" t="str">
        <f>IF(Table13[[#This Row],[cnt]]&gt;100,"High","Low")</f>
        <v>Low</v>
      </c>
    </row>
    <row r="199" spans="1:8" ht="14.25" x14ac:dyDescent="0.2">
      <c r="A199" s="2">
        <v>198</v>
      </c>
      <c r="B199" s="2">
        <v>0.13639999999999999</v>
      </c>
      <c r="C199" s="2">
        <v>0.37</v>
      </c>
      <c r="D199" s="2">
        <v>0.44779999999999998</v>
      </c>
      <c r="E199" s="2">
        <v>4</v>
      </c>
      <c r="F199" s="2">
        <v>79</v>
      </c>
      <c r="G199" s="2">
        <v>83</v>
      </c>
      <c r="H199" s="4" t="str">
        <f>IF(Table13[[#This Row],[cnt]]&gt;100,"High","Low")</f>
        <v>Low</v>
      </c>
    </row>
    <row r="200" spans="1:8" ht="14.25" x14ac:dyDescent="0.2">
      <c r="A200" s="2">
        <v>199</v>
      </c>
      <c r="B200" s="2">
        <v>0.16669999999999999</v>
      </c>
      <c r="C200" s="2">
        <v>0.34</v>
      </c>
      <c r="D200" s="2">
        <v>0.44779999999999998</v>
      </c>
      <c r="E200" s="2">
        <v>6</v>
      </c>
      <c r="F200" s="2">
        <v>69</v>
      </c>
      <c r="G200" s="2">
        <v>75</v>
      </c>
      <c r="H200" s="4" t="str">
        <f>IF(Table13[[#This Row],[cnt]]&gt;100,"High","Low")</f>
        <v>Low</v>
      </c>
    </row>
    <row r="201" spans="1:8" ht="14.25" x14ac:dyDescent="0.2">
      <c r="A201" s="2">
        <v>200</v>
      </c>
      <c r="B201" s="2">
        <v>0.18179999999999999</v>
      </c>
      <c r="C201" s="2">
        <v>0.32</v>
      </c>
      <c r="D201" s="2">
        <v>0.4627</v>
      </c>
      <c r="E201" s="2">
        <v>8</v>
      </c>
      <c r="F201" s="2">
        <v>64</v>
      </c>
      <c r="G201" s="2">
        <v>72</v>
      </c>
      <c r="H201" s="4" t="str">
        <f>IF(Table13[[#This Row],[cnt]]&gt;100,"High","Low")</f>
        <v>Low</v>
      </c>
    </row>
    <row r="202" spans="1:8" ht="14.25" x14ac:dyDescent="0.2">
      <c r="A202" s="2">
        <v>201</v>
      </c>
      <c r="B202" s="2">
        <v>0.19700000000000001</v>
      </c>
      <c r="C202" s="2">
        <v>0.35</v>
      </c>
      <c r="D202" s="2">
        <v>0.35820000000000002</v>
      </c>
      <c r="E202" s="2">
        <v>5</v>
      </c>
      <c r="F202" s="2">
        <v>77</v>
      </c>
      <c r="G202" s="2">
        <v>82</v>
      </c>
      <c r="H202" s="4" t="str">
        <f>IF(Table13[[#This Row],[cnt]]&gt;100,"High","Low")</f>
        <v>Low</v>
      </c>
    </row>
    <row r="203" spans="1:8" ht="14.25" x14ac:dyDescent="0.2">
      <c r="A203" s="2">
        <v>202</v>
      </c>
      <c r="B203" s="2">
        <v>0.16669999999999999</v>
      </c>
      <c r="C203" s="2">
        <v>0.34</v>
      </c>
      <c r="D203" s="2">
        <v>0.44779999999999998</v>
      </c>
      <c r="E203" s="2">
        <v>13</v>
      </c>
      <c r="F203" s="2">
        <v>79</v>
      </c>
      <c r="G203" s="2">
        <v>92</v>
      </c>
      <c r="H203" s="4" t="str">
        <f>IF(Table13[[#This Row],[cnt]]&gt;100,"High","Low")</f>
        <v>Low</v>
      </c>
    </row>
    <row r="204" spans="1:8" ht="14.25" x14ac:dyDescent="0.2">
      <c r="A204" s="2">
        <v>203</v>
      </c>
      <c r="B204" s="2">
        <v>0.1515</v>
      </c>
      <c r="C204" s="2">
        <v>0.37</v>
      </c>
      <c r="D204" s="2">
        <v>0.3881</v>
      </c>
      <c r="E204" s="2">
        <v>3</v>
      </c>
      <c r="F204" s="2">
        <v>59</v>
      </c>
      <c r="G204" s="2">
        <v>62</v>
      </c>
      <c r="H204" s="4" t="str">
        <f>IF(Table13[[#This Row],[cnt]]&gt;100,"High","Low")</f>
        <v>Low</v>
      </c>
    </row>
    <row r="205" spans="1:8" ht="14.25" x14ac:dyDescent="0.2">
      <c r="A205" s="2">
        <v>204</v>
      </c>
      <c r="B205" s="2">
        <v>0.13639999999999999</v>
      </c>
      <c r="C205" s="2">
        <v>0.4</v>
      </c>
      <c r="D205" s="2">
        <v>0.32840000000000003</v>
      </c>
      <c r="E205" s="2">
        <v>4</v>
      </c>
      <c r="F205" s="2">
        <v>44</v>
      </c>
      <c r="G205" s="2">
        <v>48</v>
      </c>
      <c r="H205" s="4" t="str">
        <f>IF(Table13[[#This Row],[cnt]]&gt;100,"High","Low")</f>
        <v>Low</v>
      </c>
    </row>
    <row r="206" spans="1:8" ht="14.25" x14ac:dyDescent="0.2">
      <c r="A206" s="2">
        <v>205</v>
      </c>
      <c r="B206" s="2">
        <v>0.13639999999999999</v>
      </c>
      <c r="C206" s="2">
        <v>0.43</v>
      </c>
      <c r="D206" s="2">
        <v>0.32840000000000003</v>
      </c>
      <c r="E206" s="2">
        <v>1</v>
      </c>
      <c r="F206" s="2">
        <v>40</v>
      </c>
      <c r="G206" s="2">
        <v>41</v>
      </c>
      <c r="H206" s="4" t="str">
        <f>IF(Table13[[#This Row],[cnt]]&gt;100,"High","Low")</f>
        <v>Low</v>
      </c>
    </row>
    <row r="207" spans="1:8" ht="14.25" x14ac:dyDescent="0.2">
      <c r="A207" s="2">
        <v>206</v>
      </c>
      <c r="B207" s="2">
        <v>0.1212</v>
      </c>
      <c r="C207" s="2">
        <v>0.46</v>
      </c>
      <c r="D207" s="2">
        <v>0.25369999999999998</v>
      </c>
      <c r="E207" s="2">
        <v>0</v>
      </c>
      <c r="F207" s="2">
        <v>38</v>
      </c>
      <c r="G207" s="2">
        <v>38</v>
      </c>
      <c r="H207" s="4" t="str">
        <f>IF(Table13[[#This Row],[cnt]]&gt;100,"High","Low")</f>
        <v>Low</v>
      </c>
    </row>
    <row r="208" spans="1:8" ht="14.25" x14ac:dyDescent="0.2">
      <c r="A208" s="2">
        <v>207</v>
      </c>
      <c r="B208" s="2">
        <v>0.1061</v>
      </c>
      <c r="C208" s="2">
        <v>0.46</v>
      </c>
      <c r="D208" s="2">
        <v>0.41789999999999999</v>
      </c>
      <c r="E208" s="2">
        <v>1</v>
      </c>
      <c r="F208" s="2">
        <v>19</v>
      </c>
      <c r="G208" s="2">
        <v>20</v>
      </c>
      <c r="H208" s="4" t="str">
        <f>IF(Table13[[#This Row],[cnt]]&gt;100,"High","Low")</f>
        <v>Low</v>
      </c>
    </row>
    <row r="209" spans="1:8" ht="14.25" x14ac:dyDescent="0.2">
      <c r="A209" s="2">
        <v>208</v>
      </c>
      <c r="B209" s="2">
        <v>0.1212</v>
      </c>
      <c r="C209" s="2">
        <v>0.46</v>
      </c>
      <c r="D209" s="2">
        <v>0.29849999999999999</v>
      </c>
      <c r="E209" s="2">
        <v>5</v>
      </c>
      <c r="F209" s="2">
        <v>10</v>
      </c>
      <c r="G209" s="2">
        <v>15</v>
      </c>
      <c r="H209" s="4" t="str">
        <f>IF(Table13[[#This Row],[cnt]]&gt;100,"High","Low")</f>
        <v>Low</v>
      </c>
    </row>
    <row r="210" spans="1:8" ht="14.25" x14ac:dyDescent="0.2">
      <c r="A210" s="2">
        <v>209</v>
      </c>
      <c r="B210" s="2">
        <v>0.13639999999999999</v>
      </c>
      <c r="C210" s="2">
        <v>0.5</v>
      </c>
      <c r="D210" s="2">
        <v>0.19400000000000001</v>
      </c>
      <c r="E210" s="2">
        <v>0</v>
      </c>
      <c r="F210" s="2">
        <v>6</v>
      </c>
      <c r="G210" s="2">
        <v>6</v>
      </c>
      <c r="H210" s="4" t="str">
        <f>IF(Table13[[#This Row],[cnt]]&gt;100,"High","Low")</f>
        <v>Low</v>
      </c>
    </row>
    <row r="211" spans="1:8" ht="14.25" x14ac:dyDescent="0.2">
      <c r="A211" s="2">
        <v>210</v>
      </c>
      <c r="B211" s="2">
        <v>0.1212</v>
      </c>
      <c r="C211" s="2">
        <v>0.5</v>
      </c>
      <c r="D211" s="2">
        <v>0.28360000000000002</v>
      </c>
      <c r="E211" s="2">
        <v>2</v>
      </c>
      <c r="F211" s="2">
        <v>3</v>
      </c>
      <c r="G211" s="2">
        <v>5</v>
      </c>
      <c r="H211" s="4" t="str">
        <f>IF(Table13[[#This Row],[cnt]]&gt;100,"High","Low")</f>
        <v>Low</v>
      </c>
    </row>
    <row r="212" spans="1:8" ht="14.25" x14ac:dyDescent="0.2">
      <c r="A212" s="2">
        <v>211</v>
      </c>
      <c r="B212" s="2">
        <v>0.1212</v>
      </c>
      <c r="C212" s="2">
        <v>0.5</v>
      </c>
      <c r="D212" s="2">
        <v>0.28360000000000002</v>
      </c>
      <c r="E212" s="2">
        <v>1</v>
      </c>
      <c r="F212" s="2">
        <v>0</v>
      </c>
      <c r="G212" s="2">
        <v>1</v>
      </c>
      <c r="H212" s="4" t="str">
        <f>IF(Table13[[#This Row],[cnt]]&gt;100,"High","Low")</f>
        <v>Low</v>
      </c>
    </row>
    <row r="213" spans="1:8" ht="14.25" x14ac:dyDescent="0.2">
      <c r="A213" s="2">
        <v>212</v>
      </c>
      <c r="B213" s="2">
        <v>0.1212</v>
      </c>
      <c r="C213" s="2">
        <v>0.5</v>
      </c>
      <c r="D213" s="2">
        <v>0.22389999999999999</v>
      </c>
      <c r="E213" s="2">
        <v>0</v>
      </c>
      <c r="F213" s="2">
        <v>3</v>
      </c>
      <c r="G213" s="2">
        <v>3</v>
      </c>
      <c r="H213" s="4" t="str">
        <f>IF(Table13[[#This Row],[cnt]]&gt;100,"High","Low")</f>
        <v>Low</v>
      </c>
    </row>
    <row r="214" spans="1:8" ht="14.25" x14ac:dyDescent="0.2">
      <c r="A214" s="2">
        <v>213</v>
      </c>
      <c r="B214" s="2">
        <v>0.1212</v>
      </c>
      <c r="C214" s="2">
        <v>0.5</v>
      </c>
      <c r="D214" s="2">
        <v>0.22389999999999999</v>
      </c>
      <c r="E214" s="2">
        <v>0</v>
      </c>
      <c r="F214" s="2">
        <v>1</v>
      </c>
      <c r="G214" s="2">
        <v>1</v>
      </c>
      <c r="H214" s="4" t="str">
        <f>IF(Table13[[#This Row],[cnt]]&gt;100,"High","Low")</f>
        <v>Low</v>
      </c>
    </row>
    <row r="215" spans="1:8" ht="14.25" x14ac:dyDescent="0.2">
      <c r="A215" s="2">
        <v>214</v>
      </c>
      <c r="B215" s="2">
        <v>0.1212</v>
      </c>
      <c r="C215" s="2">
        <v>0.54</v>
      </c>
      <c r="D215" s="2">
        <v>0.1343</v>
      </c>
      <c r="E215" s="2">
        <v>1</v>
      </c>
      <c r="F215" s="2">
        <v>2</v>
      </c>
      <c r="G215" s="2">
        <v>3</v>
      </c>
      <c r="H215" s="4" t="str">
        <f>IF(Table13[[#This Row],[cnt]]&gt;100,"High","Low")</f>
        <v>Low</v>
      </c>
    </row>
    <row r="216" spans="1:8" ht="14.25" x14ac:dyDescent="0.2">
      <c r="A216" s="2">
        <v>215</v>
      </c>
      <c r="B216" s="2">
        <v>0.1061</v>
      </c>
      <c r="C216" s="2">
        <v>0.54</v>
      </c>
      <c r="D216" s="2">
        <v>0.25369999999999998</v>
      </c>
      <c r="E216" s="2">
        <v>0</v>
      </c>
      <c r="F216" s="2">
        <v>3</v>
      </c>
      <c r="G216" s="2">
        <v>3</v>
      </c>
      <c r="H216" s="4" t="str">
        <f>IF(Table13[[#This Row],[cnt]]&gt;100,"High","Low")</f>
        <v>Low</v>
      </c>
    </row>
    <row r="217" spans="1:8" ht="14.25" x14ac:dyDescent="0.2">
      <c r="A217" s="2">
        <v>216</v>
      </c>
      <c r="B217" s="2">
        <v>0.1212</v>
      </c>
      <c r="C217" s="2">
        <v>0.5</v>
      </c>
      <c r="D217" s="2">
        <v>0.28360000000000002</v>
      </c>
      <c r="E217" s="2">
        <v>0</v>
      </c>
      <c r="F217" s="2">
        <v>31</v>
      </c>
      <c r="G217" s="2">
        <v>31</v>
      </c>
      <c r="H217" s="4" t="str">
        <f>IF(Table13[[#This Row],[cnt]]&gt;100,"High","Low")</f>
        <v>Low</v>
      </c>
    </row>
    <row r="218" spans="1:8" ht="14.25" x14ac:dyDescent="0.2">
      <c r="A218" s="2">
        <v>217</v>
      </c>
      <c r="B218" s="2">
        <v>0.1212</v>
      </c>
      <c r="C218" s="2">
        <v>0.5</v>
      </c>
      <c r="D218" s="2">
        <v>0.22389999999999999</v>
      </c>
      <c r="E218" s="2">
        <v>2</v>
      </c>
      <c r="F218" s="2">
        <v>75</v>
      </c>
      <c r="G218" s="2">
        <v>77</v>
      </c>
      <c r="H218" s="4" t="str">
        <f>IF(Table13[[#This Row],[cnt]]&gt;100,"High","Low")</f>
        <v>Low</v>
      </c>
    </row>
    <row r="219" spans="1:8" ht="14.25" x14ac:dyDescent="0.2">
      <c r="A219" s="2">
        <v>218</v>
      </c>
      <c r="B219" s="2">
        <v>0.1212</v>
      </c>
      <c r="C219" s="2">
        <v>0.5</v>
      </c>
      <c r="D219" s="2">
        <v>0.28360000000000002</v>
      </c>
      <c r="E219" s="2">
        <v>4</v>
      </c>
      <c r="F219" s="2">
        <v>184</v>
      </c>
      <c r="G219" s="2">
        <v>188</v>
      </c>
      <c r="H219" s="4" t="str">
        <f>IF(Table13[[#This Row],[cnt]]&gt;100,"High","Low")</f>
        <v>High</v>
      </c>
    </row>
    <row r="220" spans="1:8" ht="14.25" x14ac:dyDescent="0.2">
      <c r="A220" s="2">
        <v>219</v>
      </c>
      <c r="B220" s="2">
        <v>0.1212</v>
      </c>
      <c r="C220" s="2">
        <v>0.5</v>
      </c>
      <c r="D220" s="2">
        <v>0.25369999999999998</v>
      </c>
      <c r="E220" s="2">
        <v>2</v>
      </c>
      <c r="F220" s="2">
        <v>92</v>
      </c>
      <c r="G220" s="2">
        <v>94</v>
      </c>
      <c r="H220" s="4" t="str">
        <f>IF(Table13[[#This Row],[cnt]]&gt;100,"High","Low")</f>
        <v>Low</v>
      </c>
    </row>
    <row r="221" spans="1:8" ht="14.25" x14ac:dyDescent="0.2">
      <c r="A221" s="2">
        <v>220</v>
      </c>
      <c r="B221" s="2">
        <v>0.1212</v>
      </c>
      <c r="C221" s="2">
        <v>0.5</v>
      </c>
      <c r="D221" s="2">
        <v>0.29849999999999999</v>
      </c>
      <c r="E221" s="2">
        <v>0</v>
      </c>
      <c r="F221" s="2">
        <v>31</v>
      </c>
      <c r="G221" s="2">
        <v>31</v>
      </c>
      <c r="H221" s="4" t="str">
        <f>IF(Table13[[#This Row],[cnt]]&gt;100,"High","Low")</f>
        <v>Low</v>
      </c>
    </row>
    <row r="222" spans="1:8" ht="14.25" x14ac:dyDescent="0.2">
      <c r="A222" s="2">
        <v>221</v>
      </c>
      <c r="B222" s="2">
        <v>0.13639999999999999</v>
      </c>
      <c r="C222" s="2">
        <v>0.47</v>
      </c>
      <c r="D222" s="2">
        <v>0.28360000000000002</v>
      </c>
      <c r="E222" s="2">
        <v>2</v>
      </c>
      <c r="F222" s="2">
        <v>28</v>
      </c>
      <c r="G222" s="2">
        <v>30</v>
      </c>
      <c r="H222" s="4" t="str">
        <f>IF(Table13[[#This Row],[cnt]]&gt;100,"High","Low")</f>
        <v>Low</v>
      </c>
    </row>
    <row r="223" spans="1:8" ht="14.25" x14ac:dyDescent="0.2">
      <c r="A223" s="2">
        <v>222</v>
      </c>
      <c r="B223" s="2">
        <v>0.18179999999999999</v>
      </c>
      <c r="C223" s="2">
        <v>0.4</v>
      </c>
      <c r="D223" s="2">
        <v>0.28360000000000002</v>
      </c>
      <c r="E223" s="2">
        <v>5</v>
      </c>
      <c r="F223" s="2">
        <v>47</v>
      </c>
      <c r="G223" s="2">
        <v>52</v>
      </c>
      <c r="H223" s="4" t="str">
        <f>IF(Table13[[#This Row],[cnt]]&gt;100,"High","Low")</f>
        <v>Low</v>
      </c>
    </row>
    <row r="224" spans="1:8" ht="14.25" x14ac:dyDescent="0.2">
      <c r="A224" s="2">
        <v>223</v>
      </c>
      <c r="B224" s="2">
        <v>0.18179999999999999</v>
      </c>
      <c r="C224" s="2">
        <v>0.4</v>
      </c>
      <c r="D224" s="2">
        <v>0.28360000000000002</v>
      </c>
      <c r="E224" s="2">
        <v>4</v>
      </c>
      <c r="F224" s="2">
        <v>50</v>
      </c>
      <c r="G224" s="2">
        <v>54</v>
      </c>
      <c r="H224" s="4" t="str">
        <f>IF(Table13[[#This Row],[cnt]]&gt;100,"High","Low")</f>
        <v>Low</v>
      </c>
    </row>
    <row r="225" spans="1:8" ht="14.25" x14ac:dyDescent="0.2">
      <c r="A225" s="2">
        <v>224</v>
      </c>
      <c r="B225" s="2">
        <v>0.19700000000000001</v>
      </c>
      <c r="C225" s="2">
        <v>0.4</v>
      </c>
      <c r="D225" s="2">
        <v>0.22389999999999999</v>
      </c>
      <c r="E225" s="2">
        <v>0</v>
      </c>
      <c r="F225" s="2">
        <v>47</v>
      </c>
      <c r="G225" s="2">
        <v>47</v>
      </c>
      <c r="H225" s="4" t="str">
        <f>IF(Table13[[#This Row],[cnt]]&gt;100,"High","Low")</f>
        <v>Low</v>
      </c>
    </row>
    <row r="226" spans="1:8" ht="14.25" x14ac:dyDescent="0.2">
      <c r="A226" s="2">
        <v>225</v>
      </c>
      <c r="B226" s="2">
        <v>0.19700000000000001</v>
      </c>
      <c r="C226" s="2">
        <v>0.4</v>
      </c>
      <c r="D226" s="2">
        <v>0.22389999999999999</v>
      </c>
      <c r="E226" s="2">
        <v>2</v>
      </c>
      <c r="F226" s="2">
        <v>43</v>
      </c>
      <c r="G226" s="2">
        <v>45</v>
      </c>
      <c r="H226" s="4" t="str">
        <f>IF(Table13[[#This Row],[cnt]]&gt;100,"High","Low")</f>
        <v>Low</v>
      </c>
    </row>
    <row r="227" spans="1:8" ht="14.25" x14ac:dyDescent="0.2">
      <c r="A227" s="2">
        <v>226</v>
      </c>
      <c r="B227" s="2">
        <v>0.21210000000000001</v>
      </c>
      <c r="C227" s="2">
        <v>0.4</v>
      </c>
      <c r="D227" s="2">
        <v>0.1343</v>
      </c>
      <c r="E227" s="2">
        <v>4</v>
      </c>
      <c r="F227" s="2">
        <v>70</v>
      </c>
      <c r="G227" s="2">
        <v>74</v>
      </c>
      <c r="H227" s="4" t="str">
        <f>IF(Table13[[#This Row],[cnt]]&gt;100,"High","Low")</f>
        <v>Low</v>
      </c>
    </row>
    <row r="228" spans="1:8" ht="14.25" x14ac:dyDescent="0.2">
      <c r="A228" s="2">
        <v>227</v>
      </c>
      <c r="B228" s="2">
        <v>0.2273</v>
      </c>
      <c r="C228" s="2">
        <v>0.4</v>
      </c>
      <c r="D228" s="2">
        <v>0.1045</v>
      </c>
      <c r="E228" s="2">
        <v>4</v>
      </c>
      <c r="F228" s="2">
        <v>174</v>
      </c>
      <c r="G228" s="2">
        <v>178</v>
      </c>
      <c r="H228" s="4" t="str">
        <f>IF(Table13[[#This Row],[cnt]]&gt;100,"High","Low")</f>
        <v>High</v>
      </c>
    </row>
    <row r="229" spans="1:8" ht="14.25" x14ac:dyDescent="0.2">
      <c r="A229" s="2">
        <v>228</v>
      </c>
      <c r="B229" s="2">
        <v>0.19700000000000001</v>
      </c>
      <c r="C229" s="2">
        <v>0.4</v>
      </c>
      <c r="D229" s="2">
        <v>0.22389999999999999</v>
      </c>
      <c r="E229" s="2">
        <v>1</v>
      </c>
      <c r="F229" s="2">
        <v>154</v>
      </c>
      <c r="G229" s="2">
        <v>155</v>
      </c>
      <c r="H229" s="4" t="str">
        <f>IF(Table13[[#This Row],[cnt]]&gt;100,"High","Low")</f>
        <v>High</v>
      </c>
    </row>
    <row r="230" spans="1:8" ht="14.25" x14ac:dyDescent="0.2">
      <c r="A230" s="2">
        <v>229</v>
      </c>
      <c r="B230" s="2">
        <v>0.16669999999999999</v>
      </c>
      <c r="C230" s="2">
        <v>0.47</v>
      </c>
      <c r="D230" s="2">
        <v>0.16420000000000001</v>
      </c>
      <c r="E230" s="2">
        <v>3</v>
      </c>
      <c r="F230" s="2">
        <v>92</v>
      </c>
      <c r="G230" s="2">
        <v>95</v>
      </c>
      <c r="H230" s="4" t="str">
        <f>IF(Table13[[#This Row],[cnt]]&gt;100,"High","Low")</f>
        <v>Low</v>
      </c>
    </row>
    <row r="231" spans="1:8" ht="14.25" x14ac:dyDescent="0.2">
      <c r="A231" s="2">
        <v>230</v>
      </c>
      <c r="B231" s="2">
        <v>0.16669999999999999</v>
      </c>
      <c r="C231" s="2">
        <v>0.5</v>
      </c>
      <c r="D231" s="2">
        <v>0.16420000000000001</v>
      </c>
      <c r="E231" s="2">
        <v>1</v>
      </c>
      <c r="F231" s="2">
        <v>73</v>
      </c>
      <c r="G231" s="2">
        <v>74</v>
      </c>
      <c r="H231" s="4" t="str">
        <f>IF(Table13[[#This Row],[cnt]]&gt;100,"High","Low")</f>
        <v>Low</v>
      </c>
    </row>
    <row r="232" spans="1:8" ht="14.25" x14ac:dyDescent="0.2">
      <c r="A232" s="2">
        <v>231</v>
      </c>
      <c r="B232" s="2">
        <v>0.13639999999999999</v>
      </c>
      <c r="C232" s="2">
        <v>0.59</v>
      </c>
      <c r="D232" s="2">
        <v>0.19400000000000001</v>
      </c>
      <c r="E232" s="2">
        <v>1</v>
      </c>
      <c r="F232" s="2">
        <v>37</v>
      </c>
      <c r="G232" s="2">
        <v>38</v>
      </c>
      <c r="H232" s="4" t="str">
        <f>IF(Table13[[#This Row],[cnt]]&gt;100,"High","Low")</f>
        <v>Low</v>
      </c>
    </row>
    <row r="233" spans="1:8" ht="14.25" x14ac:dyDescent="0.2">
      <c r="A233" s="2">
        <v>232</v>
      </c>
      <c r="B233" s="2">
        <v>0.1515</v>
      </c>
      <c r="C233" s="2">
        <v>0.59</v>
      </c>
      <c r="D233" s="2">
        <v>0.16420000000000001</v>
      </c>
      <c r="E233" s="2">
        <v>2</v>
      </c>
      <c r="F233" s="2">
        <v>22</v>
      </c>
      <c r="G233" s="2">
        <v>24</v>
      </c>
      <c r="H233" s="4" t="str">
        <f>IF(Table13[[#This Row],[cnt]]&gt;100,"High","Low")</f>
        <v>Low</v>
      </c>
    </row>
    <row r="234" spans="1:8" ht="14.25" x14ac:dyDescent="0.2">
      <c r="A234" s="2">
        <v>233</v>
      </c>
      <c r="B234" s="2">
        <v>0.1515</v>
      </c>
      <c r="C234" s="2">
        <v>0.59</v>
      </c>
      <c r="D234" s="2">
        <v>0.16420000000000001</v>
      </c>
      <c r="E234" s="2">
        <v>0</v>
      </c>
      <c r="F234" s="2">
        <v>18</v>
      </c>
      <c r="G234" s="2">
        <v>18</v>
      </c>
      <c r="H234" s="4" t="str">
        <f>IF(Table13[[#This Row],[cnt]]&gt;100,"High","Low")</f>
        <v>Low</v>
      </c>
    </row>
    <row r="235" spans="1:8" ht="14.25" x14ac:dyDescent="0.2">
      <c r="A235" s="2">
        <v>234</v>
      </c>
      <c r="B235" s="2">
        <v>0.16669999999999999</v>
      </c>
      <c r="C235" s="2">
        <v>0.59</v>
      </c>
      <c r="D235" s="2">
        <v>0.1045</v>
      </c>
      <c r="E235" s="2">
        <v>2</v>
      </c>
      <c r="F235" s="2">
        <v>10</v>
      </c>
      <c r="G235" s="2">
        <v>12</v>
      </c>
      <c r="H235" s="4" t="str">
        <f>IF(Table13[[#This Row],[cnt]]&gt;100,"High","Low")</f>
        <v>Low</v>
      </c>
    </row>
    <row r="236" spans="1:8" ht="14.25" x14ac:dyDescent="0.2">
      <c r="A236" s="2">
        <v>235</v>
      </c>
      <c r="B236" s="2">
        <v>0.1515</v>
      </c>
      <c r="C236" s="2">
        <v>0.59</v>
      </c>
      <c r="D236" s="2">
        <v>0.16420000000000001</v>
      </c>
      <c r="E236" s="2">
        <v>0</v>
      </c>
      <c r="F236" s="2">
        <v>3</v>
      </c>
      <c r="G236" s="2">
        <v>3</v>
      </c>
      <c r="H236" s="4" t="str">
        <f>IF(Table13[[#This Row],[cnt]]&gt;100,"High","Low")</f>
        <v>Low</v>
      </c>
    </row>
    <row r="237" spans="1:8" ht="14.25" x14ac:dyDescent="0.2">
      <c r="A237" s="2">
        <v>236</v>
      </c>
      <c r="B237" s="2">
        <v>0.1515</v>
      </c>
      <c r="C237" s="2">
        <v>0.55000000000000004</v>
      </c>
      <c r="D237" s="2">
        <v>0.19400000000000001</v>
      </c>
      <c r="E237" s="2">
        <v>0</v>
      </c>
      <c r="F237" s="2">
        <v>3</v>
      </c>
      <c r="G237" s="2">
        <v>3</v>
      </c>
      <c r="H237" s="4" t="str">
        <f>IF(Table13[[#This Row],[cnt]]&gt;100,"High","Low")</f>
        <v>Low</v>
      </c>
    </row>
    <row r="238" spans="1:8" ht="14.25" x14ac:dyDescent="0.2">
      <c r="A238" s="2">
        <v>237</v>
      </c>
      <c r="B238" s="2">
        <v>0.18179999999999999</v>
      </c>
      <c r="C238" s="2">
        <v>0.55000000000000004</v>
      </c>
      <c r="D238" s="2">
        <v>0.1343</v>
      </c>
      <c r="E238" s="2">
        <v>0</v>
      </c>
      <c r="F238" s="2">
        <v>6</v>
      </c>
      <c r="G238" s="2">
        <v>6</v>
      </c>
      <c r="H238" s="4" t="str">
        <f>IF(Table13[[#This Row],[cnt]]&gt;100,"High","Low")</f>
        <v>Low</v>
      </c>
    </row>
    <row r="239" spans="1:8" ht="14.25" x14ac:dyDescent="0.2">
      <c r="A239" s="2">
        <v>238</v>
      </c>
      <c r="B239" s="2">
        <v>0.18179999999999999</v>
      </c>
      <c r="C239" s="2">
        <v>0.55000000000000004</v>
      </c>
      <c r="D239" s="2">
        <v>0.1343</v>
      </c>
      <c r="E239" s="2">
        <v>0</v>
      </c>
      <c r="F239" s="2">
        <v>27</v>
      </c>
      <c r="G239" s="2">
        <v>27</v>
      </c>
      <c r="H239" s="4" t="str">
        <f>IF(Table13[[#This Row],[cnt]]&gt;100,"High","Low")</f>
        <v>Low</v>
      </c>
    </row>
    <row r="240" spans="1:8" ht="14.25" x14ac:dyDescent="0.2">
      <c r="A240" s="2">
        <v>239</v>
      </c>
      <c r="B240" s="2">
        <v>0.2273</v>
      </c>
      <c r="C240" s="2">
        <v>0.55000000000000004</v>
      </c>
      <c r="D240" s="2">
        <v>0</v>
      </c>
      <c r="E240" s="2">
        <v>2</v>
      </c>
      <c r="F240" s="2">
        <v>97</v>
      </c>
      <c r="G240" s="2">
        <v>99</v>
      </c>
      <c r="H240" s="4" t="str">
        <f>IF(Table13[[#This Row],[cnt]]&gt;100,"High","Low")</f>
        <v>Low</v>
      </c>
    </row>
    <row r="241" spans="1:8" ht="14.25" x14ac:dyDescent="0.2">
      <c r="A241" s="2">
        <v>240</v>
      </c>
      <c r="B241" s="2">
        <v>0.21210000000000001</v>
      </c>
      <c r="C241" s="2">
        <v>0.51</v>
      </c>
      <c r="D241" s="2">
        <v>8.9599999999999999E-2</v>
      </c>
      <c r="E241" s="2">
        <v>3</v>
      </c>
      <c r="F241" s="2">
        <v>214</v>
      </c>
      <c r="G241" s="2">
        <v>217</v>
      </c>
      <c r="H241" s="4" t="str">
        <f>IF(Table13[[#This Row],[cnt]]&gt;100,"High","Low")</f>
        <v>High</v>
      </c>
    </row>
    <row r="242" spans="1:8" ht="14.25" x14ac:dyDescent="0.2">
      <c r="A242" s="2">
        <v>241</v>
      </c>
      <c r="B242" s="2">
        <v>0.19700000000000001</v>
      </c>
      <c r="C242" s="2">
        <v>0.51</v>
      </c>
      <c r="D242" s="2">
        <v>0.16420000000000001</v>
      </c>
      <c r="E242" s="2">
        <v>3</v>
      </c>
      <c r="F242" s="2">
        <v>127</v>
      </c>
      <c r="G242" s="2">
        <v>130</v>
      </c>
      <c r="H242" s="4" t="str">
        <f>IF(Table13[[#This Row],[cnt]]&gt;100,"High","Low")</f>
        <v>High</v>
      </c>
    </row>
    <row r="243" spans="1:8" ht="14.25" x14ac:dyDescent="0.2">
      <c r="A243" s="2">
        <v>242</v>
      </c>
      <c r="B243" s="2">
        <v>0.21210000000000001</v>
      </c>
      <c r="C243" s="2">
        <v>0.51</v>
      </c>
      <c r="D243" s="2">
        <v>0.16420000000000001</v>
      </c>
      <c r="E243" s="2">
        <v>3</v>
      </c>
      <c r="F243" s="2">
        <v>51</v>
      </c>
      <c r="G243" s="2">
        <v>54</v>
      </c>
      <c r="H243" s="4" t="str">
        <f>IF(Table13[[#This Row],[cnt]]&gt;100,"High","Low")</f>
        <v>Low</v>
      </c>
    </row>
    <row r="244" spans="1:8" ht="14.25" x14ac:dyDescent="0.2">
      <c r="A244" s="2">
        <v>243</v>
      </c>
      <c r="B244" s="2">
        <v>0.21210000000000001</v>
      </c>
      <c r="C244" s="2">
        <v>0.47</v>
      </c>
      <c r="D244" s="2">
        <v>0.1343</v>
      </c>
      <c r="E244" s="2">
        <v>4</v>
      </c>
      <c r="F244" s="2">
        <v>31</v>
      </c>
      <c r="G244" s="2">
        <v>35</v>
      </c>
      <c r="H244" s="4" t="str">
        <f>IF(Table13[[#This Row],[cnt]]&gt;100,"High","Low")</f>
        <v>Low</v>
      </c>
    </row>
    <row r="245" spans="1:8" ht="14.25" x14ac:dyDescent="0.2">
      <c r="A245" s="2">
        <v>244</v>
      </c>
      <c r="B245" s="2">
        <v>0.2273</v>
      </c>
      <c r="C245" s="2">
        <v>0.51</v>
      </c>
      <c r="D245" s="2">
        <v>0.1045</v>
      </c>
      <c r="E245" s="2">
        <v>2</v>
      </c>
      <c r="F245" s="2">
        <v>55</v>
      </c>
      <c r="G245" s="2">
        <v>57</v>
      </c>
      <c r="H245" s="4" t="str">
        <f>IF(Table13[[#This Row],[cnt]]&gt;100,"High","Low")</f>
        <v>Low</v>
      </c>
    </row>
    <row r="246" spans="1:8" ht="14.25" x14ac:dyDescent="0.2">
      <c r="A246" s="2">
        <v>245</v>
      </c>
      <c r="B246" s="2">
        <v>0.2273</v>
      </c>
      <c r="C246" s="2">
        <v>0.59</v>
      </c>
      <c r="D246" s="2">
        <v>8.9599999999999999E-2</v>
      </c>
      <c r="E246" s="2">
        <v>6</v>
      </c>
      <c r="F246" s="2">
        <v>46</v>
      </c>
      <c r="G246" s="2">
        <v>52</v>
      </c>
      <c r="H246" s="4" t="str">
        <f>IF(Table13[[#This Row],[cnt]]&gt;100,"High","Low")</f>
        <v>Low</v>
      </c>
    </row>
    <row r="247" spans="1:8" ht="14.25" x14ac:dyDescent="0.2">
      <c r="A247" s="2">
        <v>246</v>
      </c>
      <c r="B247" s="2">
        <v>0.2273</v>
      </c>
      <c r="C247" s="2">
        <v>0.59</v>
      </c>
      <c r="D247" s="2">
        <v>8.9599999999999999E-2</v>
      </c>
      <c r="E247" s="2">
        <v>3</v>
      </c>
      <c r="F247" s="2">
        <v>60</v>
      </c>
      <c r="G247" s="2">
        <v>63</v>
      </c>
      <c r="H247" s="4" t="str">
        <f>IF(Table13[[#This Row],[cnt]]&gt;100,"High","Low")</f>
        <v>Low</v>
      </c>
    </row>
    <row r="248" spans="1:8" ht="14.25" x14ac:dyDescent="0.2">
      <c r="A248" s="2">
        <v>247</v>
      </c>
      <c r="B248" s="2">
        <v>0.19700000000000001</v>
      </c>
      <c r="C248" s="2">
        <v>0.8</v>
      </c>
      <c r="D248" s="2">
        <v>8.9599999999999999E-2</v>
      </c>
      <c r="E248" s="2">
        <v>2</v>
      </c>
      <c r="F248" s="2">
        <v>45</v>
      </c>
      <c r="G248" s="2">
        <v>47</v>
      </c>
      <c r="H248" s="4" t="str">
        <f>IF(Table13[[#This Row],[cnt]]&gt;100,"High","Low")</f>
        <v>Low</v>
      </c>
    </row>
    <row r="249" spans="1:8" ht="14.25" x14ac:dyDescent="0.2">
      <c r="A249" s="2">
        <v>248</v>
      </c>
      <c r="B249" s="2">
        <v>0.1515</v>
      </c>
      <c r="C249" s="2">
        <v>0.86</v>
      </c>
      <c r="D249" s="2">
        <v>0.22389999999999999</v>
      </c>
      <c r="E249" s="2">
        <v>4</v>
      </c>
      <c r="F249" s="2">
        <v>72</v>
      </c>
      <c r="G249" s="2">
        <v>76</v>
      </c>
      <c r="H249" s="4" t="str">
        <f>IF(Table13[[#This Row],[cnt]]&gt;100,"High","Low")</f>
        <v>Low</v>
      </c>
    </row>
    <row r="250" spans="1:8" ht="14.25" x14ac:dyDescent="0.2">
      <c r="A250" s="2">
        <v>249</v>
      </c>
      <c r="B250" s="2">
        <v>0.1515</v>
      </c>
      <c r="C250" s="2">
        <v>0.86</v>
      </c>
      <c r="D250" s="2">
        <v>0.22389999999999999</v>
      </c>
      <c r="E250" s="2">
        <v>6</v>
      </c>
      <c r="F250" s="2">
        <v>130</v>
      </c>
      <c r="G250" s="2">
        <v>136</v>
      </c>
      <c r="H250" s="4" t="str">
        <f>IF(Table13[[#This Row],[cnt]]&gt;100,"High","Low")</f>
        <v>High</v>
      </c>
    </row>
    <row r="251" spans="1:8" ht="14.25" x14ac:dyDescent="0.2">
      <c r="A251" s="2">
        <v>250</v>
      </c>
      <c r="B251" s="2">
        <v>0.18179999999999999</v>
      </c>
      <c r="C251" s="2">
        <v>0.93</v>
      </c>
      <c r="D251" s="2">
        <v>0.1045</v>
      </c>
      <c r="E251" s="2">
        <v>1</v>
      </c>
      <c r="F251" s="2">
        <v>94</v>
      </c>
      <c r="G251" s="2">
        <v>95</v>
      </c>
      <c r="H251" s="4" t="str">
        <f>IF(Table13[[#This Row],[cnt]]&gt;100,"High","Low")</f>
        <v>Low</v>
      </c>
    </row>
    <row r="252" spans="1:8" ht="14.25" x14ac:dyDescent="0.2">
      <c r="A252" s="2">
        <v>251</v>
      </c>
      <c r="B252" s="2">
        <v>0.2273</v>
      </c>
      <c r="C252" s="2">
        <v>0.93</v>
      </c>
      <c r="D252" s="2">
        <v>0</v>
      </c>
      <c r="E252" s="2">
        <v>0</v>
      </c>
      <c r="F252" s="2">
        <v>51</v>
      </c>
      <c r="G252" s="2">
        <v>51</v>
      </c>
      <c r="H252" s="4" t="str">
        <f>IF(Table13[[#This Row],[cnt]]&gt;100,"High","Low")</f>
        <v>Low</v>
      </c>
    </row>
    <row r="253" spans="1:8" ht="14.25" x14ac:dyDescent="0.2">
      <c r="A253" s="2">
        <v>252</v>
      </c>
      <c r="B253" s="2">
        <v>0.1515</v>
      </c>
      <c r="C253" s="2">
        <v>0.93</v>
      </c>
      <c r="D253" s="2">
        <v>0.19400000000000001</v>
      </c>
      <c r="E253" s="2">
        <v>0</v>
      </c>
      <c r="F253" s="2">
        <v>32</v>
      </c>
      <c r="G253" s="2">
        <v>32</v>
      </c>
      <c r="H253" s="4" t="str">
        <f>IF(Table13[[#This Row],[cnt]]&gt;100,"High","Low")</f>
        <v>Low</v>
      </c>
    </row>
    <row r="254" spans="1:8" ht="14.25" x14ac:dyDescent="0.2">
      <c r="A254" s="2">
        <v>253</v>
      </c>
      <c r="B254" s="2">
        <v>0.19700000000000001</v>
      </c>
      <c r="C254" s="2">
        <v>0.86</v>
      </c>
      <c r="D254" s="2">
        <v>8.9599999999999999E-2</v>
      </c>
      <c r="E254" s="2">
        <v>0</v>
      </c>
      <c r="F254" s="2">
        <v>20</v>
      </c>
      <c r="G254" s="2">
        <v>20</v>
      </c>
      <c r="H254" s="4" t="str">
        <f>IF(Table13[[#This Row],[cnt]]&gt;100,"High","Low")</f>
        <v>Low</v>
      </c>
    </row>
    <row r="255" spans="1:8" ht="14.25" x14ac:dyDescent="0.2">
      <c r="A255" s="2">
        <v>254</v>
      </c>
      <c r="B255" s="2">
        <v>0.18179999999999999</v>
      </c>
      <c r="C255" s="2">
        <v>0.93</v>
      </c>
      <c r="D255" s="2">
        <v>0.1045</v>
      </c>
      <c r="E255" s="2">
        <v>1</v>
      </c>
      <c r="F255" s="2">
        <v>28</v>
      </c>
      <c r="G255" s="2">
        <v>29</v>
      </c>
      <c r="H255" s="4" t="str">
        <f>IF(Table13[[#This Row],[cnt]]&gt;100,"High","Low")</f>
        <v>Low</v>
      </c>
    </row>
    <row r="256" spans="1:8" ht="14.25" x14ac:dyDescent="0.2">
      <c r="A256" s="2">
        <v>255</v>
      </c>
      <c r="B256" s="2">
        <v>0.19700000000000001</v>
      </c>
      <c r="C256" s="2">
        <v>0.93</v>
      </c>
      <c r="D256" s="2">
        <v>8.9599999999999999E-2</v>
      </c>
      <c r="E256" s="2">
        <v>1</v>
      </c>
      <c r="F256" s="2">
        <v>18</v>
      </c>
      <c r="G256" s="2">
        <v>19</v>
      </c>
      <c r="H256" s="4" t="str">
        <f>IF(Table13[[#This Row],[cnt]]&gt;100,"High","Low")</f>
        <v>Low</v>
      </c>
    </row>
    <row r="257" spans="1:8" ht="14.25" x14ac:dyDescent="0.2">
      <c r="A257" s="2">
        <v>256</v>
      </c>
      <c r="B257" s="2">
        <v>0.19700000000000001</v>
      </c>
      <c r="C257" s="2">
        <v>0.86</v>
      </c>
      <c r="D257" s="2">
        <v>8.9599999999999999E-2</v>
      </c>
      <c r="E257" s="2">
        <v>0</v>
      </c>
      <c r="F257" s="2">
        <v>7</v>
      </c>
      <c r="G257" s="2">
        <v>7</v>
      </c>
      <c r="H257" s="4" t="str">
        <f>IF(Table13[[#This Row],[cnt]]&gt;100,"High","Low")</f>
        <v>Low</v>
      </c>
    </row>
    <row r="258" spans="1:8" ht="14.25" x14ac:dyDescent="0.2">
      <c r="A258" s="2">
        <v>257</v>
      </c>
      <c r="B258" s="2">
        <v>0.18179999999999999</v>
      </c>
      <c r="C258" s="2">
        <v>0.86</v>
      </c>
      <c r="D258" s="2">
        <v>0.1045</v>
      </c>
      <c r="E258" s="2">
        <v>0</v>
      </c>
      <c r="F258" s="2">
        <v>6</v>
      </c>
      <c r="G258" s="2">
        <v>6</v>
      </c>
      <c r="H258" s="4" t="str">
        <f>IF(Table13[[#This Row],[cnt]]&gt;100,"High","Low")</f>
        <v>Low</v>
      </c>
    </row>
    <row r="259" spans="1:8" ht="14.25" x14ac:dyDescent="0.2">
      <c r="A259" s="2">
        <v>258</v>
      </c>
      <c r="B259" s="2">
        <v>0.1515</v>
      </c>
      <c r="C259" s="2">
        <v>0.86</v>
      </c>
      <c r="D259" s="2">
        <v>0.1343</v>
      </c>
      <c r="E259" s="2">
        <v>0</v>
      </c>
      <c r="F259" s="2">
        <v>1</v>
      </c>
      <c r="G259" s="2">
        <v>1</v>
      </c>
      <c r="H259" s="4" t="str">
        <f>IF(Table13[[#This Row],[cnt]]&gt;100,"High","Low")</f>
        <v>Low</v>
      </c>
    </row>
    <row r="260" spans="1:8" ht="14.25" x14ac:dyDescent="0.2">
      <c r="A260" s="2">
        <v>259</v>
      </c>
      <c r="B260" s="2">
        <v>0.1515</v>
      </c>
      <c r="C260" s="2">
        <v>0.86</v>
      </c>
      <c r="D260" s="2">
        <v>0.16420000000000001</v>
      </c>
      <c r="E260" s="2">
        <v>0</v>
      </c>
      <c r="F260" s="2">
        <v>5</v>
      </c>
      <c r="G260" s="2">
        <v>5</v>
      </c>
      <c r="H260" s="4" t="str">
        <f>IF(Table13[[#This Row],[cnt]]&gt;100,"High","Low")</f>
        <v>Low</v>
      </c>
    </row>
    <row r="261" spans="1:8" ht="14.25" x14ac:dyDescent="0.2">
      <c r="A261" s="2">
        <v>260</v>
      </c>
      <c r="B261" s="2">
        <v>0.1515</v>
      </c>
      <c r="C261" s="2">
        <v>0.93</v>
      </c>
      <c r="D261" s="2">
        <v>0.1343</v>
      </c>
      <c r="E261" s="2">
        <v>0</v>
      </c>
      <c r="F261" s="2">
        <v>16</v>
      </c>
      <c r="G261" s="2">
        <v>16</v>
      </c>
      <c r="H261" s="4" t="str">
        <f>IF(Table13[[#This Row],[cnt]]&gt;100,"High","Low")</f>
        <v>Low</v>
      </c>
    </row>
    <row r="262" spans="1:8" ht="14.25" x14ac:dyDescent="0.2">
      <c r="A262" s="2">
        <v>261</v>
      </c>
      <c r="B262" s="2">
        <v>0.1515</v>
      </c>
      <c r="C262" s="2">
        <v>0.69</v>
      </c>
      <c r="D262" s="2">
        <v>0.1343</v>
      </c>
      <c r="E262" s="2">
        <v>0</v>
      </c>
      <c r="F262" s="2">
        <v>54</v>
      </c>
      <c r="G262" s="2">
        <v>54</v>
      </c>
      <c r="H262" s="4" t="str">
        <f>IF(Table13[[#This Row],[cnt]]&gt;100,"High","Low")</f>
        <v>Low</v>
      </c>
    </row>
    <row r="263" spans="1:8" ht="14.25" x14ac:dyDescent="0.2">
      <c r="A263" s="2">
        <v>262</v>
      </c>
      <c r="B263" s="2">
        <v>0.16669999999999999</v>
      </c>
      <c r="C263" s="2">
        <v>0.59</v>
      </c>
      <c r="D263" s="2">
        <v>0.16420000000000001</v>
      </c>
      <c r="E263" s="2">
        <v>3</v>
      </c>
      <c r="F263" s="2">
        <v>125</v>
      </c>
      <c r="G263" s="2">
        <v>128</v>
      </c>
      <c r="H263" s="4" t="str">
        <f>IF(Table13[[#This Row],[cnt]]&gt;100,"High","Low")</f>
        <v>High</v>
      </c>
    </row>
    <row r="264" spans="1:8" ht="14.25" x14ac:dyDescent="0.2">
      <c r="A264" s="2">
        <v>263</v>
      </c>
      <c r="B264" s="2">
        <v>0.13639999999999999</v>
      </c>
      <c r="C264" s="2">
        <v>0.59</v>
      </c>
      <c r="D264" s="2">
        <v>0.32840000000000003</v>
      </c>
      <c r="E264" s="2">
        <v>3</v>
      </c>
      <c r="F264" s="2">
        <v>78</v>
      </c>
      <c r="G264" s="2">
        <v>81</v>
      </c>
      <c r="H264" s="4" t="str">
        <f>IF(Table13[[#This Row],[cnt]]&gt;100,"High","Low")</f>
        <v>Low</v>
      </c>
    </row>
    <row r="265" spans="1:8" ht="14.25" x14ac:dyDescent="0.2">
      <c r="A265" s="2">
        <v>264</v>
      </c>
      <c r="B265" s="2">
        <v>0.18179999999999999</v>
      </c>
      <c r="C265" s="2">
        <v>0.55000000000000004</v>
      </c>
      <c r="D265" s="2">
        <v>0.22389999999999999</v>
      </c>
      <c r="E265" s="2">
        <v>0</v>
      </c>
      <c r="F265" s="2">
        <v>39</v>
      </c>
      <c r="G265" s="2">
        <v>39</v>
      </c>
      <c r="H265" s="4" t="str">
        <f>IF(Table13[[#This Row],[cnt]]&gt;100,"High","Low")</f>
        <v>Low</v>
      </c>
    </row>
    <row r="266" spans="1:8" ht="14.25" x14ac:dyDescent="0.2">
      <c r="A266" s="2">
        <v>265</v>
      </c>
      <c r="B266" s="2">
        <v>0.18179999999999999</v>
      </c>
      <c r="C266" s="2">
        <v>0.51</v>
      </c>
      <c r="D266" s="2">
        <v>0.3881</v>
      </c>
      <c r="E266" s="2">
        <v>3</v>
      </c>
      <c r="F266" s="2">
        <v>32</v>
      </c>
      <c r="G266" s="2">
        <v>35</v>
      </c>
      <c r="H266" s="4" t="str">
        <f>IF(Table13[[#This Row],[cnt]]&gt;100,"High","Low")</f>
        <v>Low</v>
      </c>
    </row>
    <row r="267" spans="1:8" ht="14.25" x14ac:dyDescent="0.2">
      <c r="A267" s="2">
        <v>266</v>
      </c>
      <c r="B267" s="2">
        <v>0.1515</v>
      </c>
      <c r="C267" s="2">
        <v>0.47</v>
      </c>
      <c r="D267" s="2">
        <v>0.58209999999999995</v>
      </c>
      <c r="E267" s="2">
        <v>3</v>
      </c>
      <c r="F267" s="2">
        <v>52</v>
      </c>
      <c r="G267" s="2">
        <v>55</v>
      </c>
      <c r="H267" s="4" t="str">
        <f>IF(Table13[[#This Row],[cnt]]&gt;100,"High","Low")</f>
        <v>Low</v>
      </c>
    </row>
    <row r="268" spans="1:8" ht="14.25" x14ac:dyDescent="0.2">
      <c r="A268" s="2">
        <v>267</v>
      </c>
      <c r="B268" s="2">
        <v>0.19700000000000001</v>
      </c>
      <c r="C268" s="2">
        <v>0.44</v>
      </c>
      <c r="D268" s="2">
        <v>0.35820000000000002</v>
      </c>
      <c r="E268" s="2">
        <v>0</v>
      </c>
      <c r="F268" s="2">
        <v>49</v>
      </c>
      <c r="G268" s="2">
        <v>49</v>
      </c>
      <c r="H268" s="4" t="str">
        <f>IF(Table13[[#This Row],[cnt]]&gt;100,"High","Low")</f>
        <v>Low</v>
      </c>
    </row>
    <row r="269" spans="1:8" ht="14.25" x14ac:dyDescent="0.2">
      <c r="A269" s="2">
        <v>268</v>
      </c>
      <c r="B269" s="2">
        <v>0.18179999999999999</v>
      </c>
      <c r="C269" s="2">
        <v>0.47</v>
      </c>
      <c r="D269" s="2">
        <v>0.32840000000000003</v>
      </c>
      <c r="E269" s="2">
        <v>0</v>
      </c>
      <c r="F269" s="2">
        <v>44</v>
      </c>
      <c r="G269" s="2">
        <v>44</v>
      </c>
      <c r="H269" s="4" t="str">
        <f>IF(Table13[[#This Row],[cnt]]&gt;100,"High","Low")</f>
        <v>Low</v>
      </c>
    </row>
    <row r="270" spans="1:8" ht="14.25" x14ac:dyDescent="0.2">
      <c r="A270" s="2">
        <v>269</v>
      </c>
      <c r="B270" s="2">
        <v>0.16669999999999999</v>
      </c>
      <c r="C270" s="2">
        <v>0.47</v>
      </c>
      <c r="D270" s="2">
        <v>0.41789999999999999</v>
      </c>
      <c r="E270" s="2">
        <v>1</v>
      </c>
      <c r="F270" s="2">
        <v>48</v>
      </c>
      <c r="G270" s="2">
        <v>49</v>
      </c>
      <c r="H270" s="4" t="str">
        <f>IF(Table13[[#This Row],[cnt]]&gt;100,"High","Low")</f>
        <v>Low</v>
      </c>
    </row>
    <row r="271" spans="1:8" ht="14.25" x14ac:dyDescent="0.2">
      <c r="A271" s="2">
        <v>270</v>
      </c>
      <c r="B271" s="2">
        <v>0.19700000000000001</v>
      </c>
      <c r="C271" s="2">
        <v>0.44</v>
      </c>
      <c r="D271" s="2">
        <v>0.32840000000000003</v>
      </c>
      <c r="E271" s="2">
        <v>5</v>
      </c>
      <c r="F271" s="2">
        <v>63</v>
      </c>
      <c r="G271" s="2">
        <v>68</v>
      </c>
      <c r="H271" s="4" t="str">
        <f>IF(Table13[[#This Row],[cnt]]&gt;100,"High","Low")</f>
        <v>Low</v>
      </c>
    </row>
    <row r="272" spans="1:8" ht="14.25" x14ac:dyDescent="0.2">
      <c r="A272" s="2">
        <v>271</v>
      </c>
      <c r="B272" s="2">
        <v>0.18179999999999999</v>
      </c>
      <c r="C272" s="2">
        <v>0.47</v>
      </c>
      <c r="D272" s="2">
        <v>0.35820000000000002</v>
      </c>
      <c r="E272" s="2">
        <v>0</v>
      </c>
      <c r="F272" s="2">
        <v>139</v>
      </c>
      <c r="G272" s="2">
        <v>139</v>
      </c>
      <c r="H272" s="4" t="str">
        <f>IF(Table13[[#This Row],[cnt]]&gt;100,"High","Low")</f>
        <v>High</v>
      </c>
    </row>
    <row r="273" spans="1:8" ht="14.25" x14ac:dyDescent="0.2">
      <c r="A273" s="2">
        <v>272</v>
      </c>
      <c r="B273" s="2">
        <v>0.1515</v>
      </c>
      <c r="C273" s="2">
        <v>0.47</v>
      </c>
      <c r="D273" s="2">
        <v>0.52239999999999998</v>
      </c>
      <c r="E273" s="2">
        <v>2</v>
      </c>
      <c r="F273" s="2">
        <v>135</v>
      </c>
      <c r="G273" s="2">
        <v>137</v>
      </c>
      <c r="H273" s="4" t="str">
        <f>IF(Table13[[#This Row],[cnt]]&gt;100,"High","Low")</f>
        <v>High</v>
      </c>
    </row>
    <row r="274" spans="1:8" ht="14.25" x14ac:dyDescent="0.2">
      <c r="A274" s="2">
        <v>273</v>
      </c>
      <c r="B274" s="2">
        <v>0.1515</v>
      </c>
      <c r="C274" s="2">
        <v>0.47</v>
      </c>
      <c r="D274" s="2">
        <v>0.41789999999999999</v>
      </c>
      <c r="E274" s="2">
        <v>1</v>
      </c>
      <c r="F274" s="2">
        <v>82</v>
      </c>
      <c r="G274" s="2">
        <v>83</v>
      </c>
      <c r="H274" s="4" t="str">
        <f>IF(Table13[[#This Row],[cnt]]&gt;100,"High","Low")</f>
        <v>Low</v>
      </c>
    </row>
    <row r="275" spans="1:8" ht="14.25" x14ac:dyDescent="0.2">
      <c r="A275" s="2">
        <v>274</v>
      </c>
      <c r="B275" s="2">
        <v>0.13639999999999999</v>
      </c>
      <c r="C275" s="2">
        <v>0.5</v>
      </c>
      <c r="D275" s="2">
        <v>0.32840000000000003</v>
      </c>
      <c r="E275" s="2">
        <v>2</v>
      </c>
      <c r="F275" s="2">
        <v>54</v>
      </c>
      <c r="G275" s="2">
        <v>56</v>
      </c>
      <c r="H275" s="4" t="str">
        <f>IF(Table13[[#This Row],[cnt]]&gt;100,"High","Low")</f>
        <v>Low</v>
      </c>
    </row>
    <row r="276" spans="1:8" ht="14.25" x14ac:dyDescent="0.2">
      <c r="A276" s="2">
        <v>275</v>
      </c>
      <c r="B276" s="2">
        <v>0.13639999999999999</v>
      </c>
      <c r="C276" s="2">
        <v>0.55000000000000004</v>
      </c>
      <c r="D276" s="2">
        <v>0.32840000000000003</v>
      </c>
      <c r="E276" s="2">
        <v>0</v>
      </c>
      <c r="F276" s="2">
        <v>57</v>
      </c>
      <c r="G276" s="2">
        <v>57</v>
      </c>
      <c r="H276" s="4" t="str">
        <f>IF(Table13[[#This Row],[cnt]]&gt;100,"High","Low")</f>
        <v>Low</v>
      </c>
    </row>
    <row r="277" spans="1:8" ht="14.25" x14ac:dyDescent="0.2">
      <c r="A277" s="2">
        <v>276</v>
      </c>
      <c r="B277" s="2">
        <v>0.1212</v>
      </c>
      <c r="C277" s="2">
        <v>0.55000000000000004</v>
      </c>
      <c r="D277" s="2">
        <v>0.44779999999999998</v>
      </c>
      <c r="E277" s="2">
        <v>1</v>
      </c>
      <c r="F277" s="2">
        <v>32</v>
      </c>
      <c r="G277" s="2">
        <v>33</v>
      </c>
      <c r="H277" s="4" t="str">
        <f>IF(Table13[[#This Row],[cnt]]&gt;100,"High","Low")</f>
        <v>Low</v>
      </c>
    </row>
    <row r="278" spans="1:8" ht="14.25" x14ac:dyDescent="0.2">
      <c r="A278" s="2">
        <v>277</v>
      </c>
      <c r="B278" s="2">
        <v>0.1061</v>
      </c>
      <c r="C278" s="2">
        <v>0.59</v>
      </c>
      <c r="D278" s="2">
        <v>0.41789999999999999</v>
      </c>
      <c r="E278" s="2">
        <v>1</v>
      </c>
      <c r="F278" s="2">
        <v>19</v>
      </c>
      <c r="G278" s="2">
        <v>20</v>
      </c>
      <c r="H278" s="4" t="str">
        <f>IF(Table13[[#This Row],[cnt]]&gt;100,"High","Low")</f>
        <v>Low</v>
      </c>
    </row>
    <row r="279" spans="1:8" ht="14.25" x14ac:dyDescent="0.2">
      <c r="A279" s="2">
        <v>278</v>
      </c>
      <c r="B279" s="2">
        <v>0.1212</v>
      </c>
      <c r="C279" s="2">
        <v>0.59</v>
      </c>
      <c r="D279" s="2">
        <v>0.28360000000000002</v>
      </c>
      <c r="E279" s="2">
        <v>1</v>
      </c>
      <c r="F279" s="2">
        <v>6</v>
      </c>
      <c r="G279" s="2">
        <v>7</v>
      </c>
      <c r="H279" s="4" t="str">
        <f>IF(Table13[[#This Row],[cnt]]&gt;100,"High","Low")</f>
        <v>Low</v>
      </c>
    </row>
    <row r="280" spans="1:8" ht="14.25" x14ac:dyDescent="0.2">
      <c r="A280" s="2">
        <v>279</v>
      </c>
      <c r="B280" s="2">
        <v>0.1212</v>
      </c>
      <c r="C280" s="2">
        <v>0.5</v>
      </c>
      <c r="D280" s="2">
        <v>0.28360000000000002</v>
      </c>
      <c r="E280" s="2">
        <v>0</v>
      </c>
      <c r="F280" s="2">
        <v>2</v>
      </c>
      <c r="G280" s="2">
        <v>2</v>
      </c>
      <c r="H280" s="4" t="str">
        <f>IF(Table13[[#This Row],[cnt]]&gt;100,"High","Low")</f>
        <v>Low</v>
      </c>
    </row>
    <row r="281" spans="1:8" ht="14.25" x14ac:dyDescent="0.2">
      <c r="A281" s="2">
        <v>280</v>
      </c>
      <c r="B281" s="2">
        <v>0.1212</v>
      </c>
      <c r="C281" s="2">
        <v>0.5</v>
      </c>
      <c r="D281" s="2">
        <v>0.35820000000000002</v>
      </c>
      <c r="E281" s="2">
        <v>0</v>
      </c>
      <c r="F281" s="2">
        <v>2</v>
      </c>
      <c r="G281" s="2">
        <v>2</v>
      </c>
      <c r="H281" s="4" t="str">
        <f>IF(Table13[[#This Row],[cnt]]&gt;100,"High","Low")</f>
        <v>Low</v>
      </c>
    </row>
    <row r="282" spans="1:8" ht="14.25" x14ac:dyDescent="0.2">
      <c r="A282" s="2">
        <v>281</v>
      </c>
      <c r="B282" s="2">
        <v>0.1212</v>
      </c>
      <c r="C282" s="2">
        <v>0.5</v>
      </c>
      <c r="D282" s="2">
        <v>0.32840000000000003</v>
      </c>
      <c r="E282" s="2">
        <v>0</v>
      </c>
      <c r="F282" s="2">
        <v>3</v>
      </c>
      <c r="G282" s="2">
        <v>3</v>
      </c>
      <c r="H282" s="4" t="str">
        <f>IF(Table13[[#This Row],[cnt]]&gt;100,"High","Low")</f>
        <v>Low</v>
      </c>
    </row>
    <row r="283" spans="1:8" ht="14.25" x14ac:dyDescent="0.2">
      <c r="A283" s="2">
        <v>282</v>
      </c>
      <c r="B283" s="2">
        <v>0.1212</v>
      </c>
      <c r="C283" s="2">
        <v>0.5</v>
      </c>
      <c r="D283" s="2">
        <v>0.25369999999999998</v>
      </c>
      <c r="E283" s="2">
        <v>0</v>
      </c>
      <c r="F283" s="2">
        <v>4</v>
      </c>
      <c r="G283" s="2">
        <v>4</v>
      </c>
      <c r="H283" s="4" t="str">
        <f>IF(Table13[[#This Row],[cnt]]&gt;100,"High","Low")</f>
        <v>Low</v>
      </c>
    </row>
    <row r="284" spans="1:8" ht="14.25" x14ac:dyDescent="0.2">
      <c r="A284" s="2">
        <v>283</v>
      </c>
      <c r="B284" s="2">
        <v>0.1212</v>
      </c>
      <c r="C284" s="2">
        <v>0.5</v>
      </c>
      <c r="D284" s="2">
        <v>0.29849999999999999</v>
      </c>
      <c r="E284" s="2">
        <v>0</v>
      </c>
      <c r="F284" s="2">
        <v>3</v>
      </c>
      <c r="G284" s="2">
        <v>3</v>
      </c>
      <c r="H284" s="4" t="str">
        <f>IF(Table13[[#This Row],[cnt]]&gt;100,"High","Low")</f>
        <v>Low</v>
      </c>
    </row>
    <row r="285" spans="1:8" ht="14.25" x14ac:dyDescent="0.2">
      <c r="A285" s="2">
        <v>284</v>
      </c>
      <c r="B285" s="2">
        <v>0.1515</v>
      </c>
      <c r="C285" s="2">
        <v>0.54</v>
      </c>
      <c r="D285" s="2">
        <v>0.1343</v>
      </c>
      <c r="E285" s="2">
        <v>0</v>
      </c>
      <c r="F285" s="2">
        <v>28</v>
      </c>
      <c r="G285" s="2">
        <v>28</v>
      </c>
      <c r="H285" s="4" t="str">
        <f>IF(Table13[[#This Row],[cnt]]&gt;100,"High","Low")</f>
        <v>Low</v>
      </c>
    </row>
    <row r="286" spans="1:8" ht="14.25" x14ac:dyDescent="0.2">
      <c r="A286" s="2">
        <v>285</v>
      </c>
      <c r="B286" s="2">
        <v>0.1515</v>
      </c>
      <c r="C286" s="2">
        <v>0.54</v>
      </c>
      <c r="D286" s="2">
        <v>0.1343</v>
      </c>
      <c r="E286" s="2">
        <v>0</v>
      </c>
      <c r="F286" s="2">
        <v>72</v>
      </c>
      <c r="G286" s="2">
        <v>72</v>
      </c>
      <c r="H286" s="4" t="str">
        <f>IF(Table13[[#This Row],[cnt]]&gt;100,"High","Low")</f>
        <v>Low</v>
      </c>
    </row>
    <row r="287" spans="1:8" ht="14.25" x14ac:dyDescent="0.2">
      <c r="A287" s="2">
        <v>286</v>
      </c>
      <c r="B287" s="2">
        <v>0.13639999999999999</v>
      </c>
      <c r="C287" s="2">
        <v>0.5</v>
      </c>
      <c r="D287" s="2">
        <v>0.19400000000000001</v>
      </c>
      <c r="E287" s="2">
        <v>5</v>
      </c>
      <c r="F287" s="2">
        <v>197</v>
      </c>
      <c r="G287" s="2">
        <v>202</v>
      </c>
      <c r="H287" s="4" t="str">
        <f>IF(Table13[[#This Row],[cnt]]&gt;100,"High","Low")</f>
        <v>High</v>
      </c>
    </row>
    <row r="288" spans="1:8" ht="14.25" x14ac:dyDescent="0.2">
      <c r="A288" s="2">
        <v>287</v>
      </c>
      <c r="B288" s="2">
        <v>0.1212</v>
      </c>
      <c r="C288" s="2">
        <v>0.5</v>
      </c>
      <c r="D288" s="2">
        <v>0.32840000000000003</v>
      </c>
      <c r="E288" s="2">
        <v>2</v>
      </c>
      <c r="F288" s="2">
        <v>137</v>
      </c>
      <c r="G288" s="2">
        <v>139</v>
      </c>
      <c r="H288" s="4" t="str">
        <f>IF(Table13[[#This Row],[cnt]]&gt;100,"High","Low")</f>
        <v>High</v>
      </c>
    </row>
    <row r="289" spans="1:8" ht="14.25" x14ac:dyDescent="0.2">
      <c r="A289" s="2">
        <v>288</v>
      </c>
      <c r="B289" s="2">
        <v>0.13639999999999999</v>
      </c>
      <c r="C289" s="2">
        <v>0.5</v>
      </c>
      <c r="D289" s="2">
        <v>0.35820000000000002</v>
      </c>
      <c r="E289" s="2">
        <v>2</v>
      </c>
      <c r="F289" s="2">
        <v>36</v>
      </c>
      <c r="G289" s="2">
        <v>38</v>
      </c>
      <c r="H289" s="4" t="str">
        <f>IF(Table13[[#This Row],[cnt]]&gt;100,"High","Low")</f>
        <v>Low</v>
      </c>
    </row>
    <row r="290" spans="1:8" ht="14.25" x14ac:dyDescent="0.2">
      <c r="A290" s="2">
        <v>289</v>
      </c>
      <c r="B290" s="2">
        <v>0.16669999999999999</v>
      </c>
      <c r="C290" s="2">
        <v>0.44</v>
      </c>
      <c r="D290" s="2">
        <v>0.44779999999999998</v>
      </c>
      <c r="E290" s="2">
        <v>4</v>
      </c>
      <c r="F290" s="2">
        <v>33</v>
      </c>
      <c r="G290" s="2">
        <v>37</v>
      </c>
      <c r="H290" s="4" t="str">
        <f>IF(Table13[[#This Row],[cnt]]&gt;100,"High","Low")</f>
        <v>Low</v>
      </c>
    </row>
    <row r="291" spans="1:8" ht="14.25" x14ac:dyDescent="0.2">
      <c r="A291" s="2">
        <v>290</v>
      </c>
      <c r="B291" s="2">
        <v>0.16669999999999999</v>
      </c>
      <c r="C291" s="2">
        <v>0.44</v>
      </c>
      <c r="D291" s="2">
        <v>0.41789999999999999</v>
      </c>
      <c r="E291" s="2">
        <v>3</v>
      </c>
      <c r="F291" s="2">
        <v>49</v>
      </c>
      <c r="G291" s="2">
        <v>52</v>
      </c>
      <c r="H291" s="4" t="str">
        <f>IF(Table13[[#This Row],[cnt]]&gt;100,"High","Low")</f>
        <v>Low</v>
      </c>
    </row>
    <row r="292" spans="1:8" ht="14.25" x14ac:dyDescent="0.2">
      <c r="A292" s="2">
        <v>291</v>
      </c>
      <c r="B292" s="2">
        <v>0.19700000000000001</v>
      </c>
      <c r="C292" s="2">
        <v>0.41</v>
      </c>
      <c r="D292" s="2">
        <v>0.44779999999999998</v>
      </c>
      <c r="E292" s="2">
        <v>2</v>
      </c>
      <c r="F292" s="2">
        <v>81</v>
      </c>
      <c r="G292" s="2">
        <v>83</v>
      </c>
      <c r="H292" s="4" t="str">
        <f>IF(Table13[[#This Row],[cnt]]&gt;100,"High","Low")</f>
        <v>Low</v>
      </c>
    </row>
    <row r="293" spans="1:8" ht="14.25" x14ac:dyDescent="0.2">
      <c r="A293" s="2">
        <v>292</v>
      </c>
      <c r="B293" s="2">
        <v>0.19700000000000001</v>
      </c>
      <c r="C293" s="2">
        <v>0.41</v>
      </c>
      <c r="D293" s="2">
        <v>0.3881</v>
      </c>
      <c r="E293" s="2">
        <v>3</v>
      </c>
      <c r="F293" s="2">
        <v>39</v>
      </c>
      <c r="G293" s="2">
        <v>42</v>
      </c>
      <c r="H293" s="4" t="str">
        <f>IF(Table13[[#This Row],[cnt]]&gt;100,"High","Low")</f>
        <v>Low</v>
      </c>
    </row>
    <row r="294" spans="1:8" ht="14.25" x14ac:dyDescent="0.2">
      <c r="A294" s="2">
        <v>293</v>
      </c>
      <c r="B294" s="2">
        <v>0.21210000000000001</v>
      </c>
      <c r="C294" s="2">
        <v>0.38</v>
      </c>
      <c r="D294" s="2">
        <v>0.29849999999999999</v>
      </c>
      <c r="E294" s="2">
        <v>5</v>
      </c>
      <c r="F294" s="2">
        <v>55</v>
      </c>
      <c r="G294" s="2">
        <v>60</v>
      </c>
      <c r="H294" s="4" t="str">
        <f>IF(Table13[[#This Row],[cnt]]&gt;100,"High","Low")</f>
        <v>Low</v>
      </c>
    </row>
    <row r="295" spans="1:8" ht="14.25" x14ac:dyDescent="0.2">
      <c r="A295" s="2">
        <v>294</v>
      </c>
      <c r="B295" s="2">
        <v>0.21210000000000001</v>
      </c>
      <c r="C295" s="2">
        <v>0.38</v>
      </c>
      <c r="D295" s="2">
        <v>0.35820000000000002</v>
      </c>
      <c r="E295" s="2">
        <v>2</v>
      </c>
      <c r="F295" s="2">
        <v>76</v>
      </c>
      <c r="G295" s="2">
        <v>78</v>
      </c>
      <c r="H295" s="4" t="str">
        <f>IF(Table13[[#This Row],[cnt]]&gt;100,"High","Low")</f>
        <v>Low</v>
      </c>
    </row>
    <row r="296" spans="1:8" ht="14.25" x14ac:dyDescent="0.2">
      <c r="A296" s="2">
        <v>295</v>
      </c>
      <c r="B296" s="2">
        <v>0.18179999999999999</v>
      </c>
      <c r="C296" s="2">
        <v>0.4</v>
      </c>
      <c r="D296" s="2">
        <v>0.28360000000000002</v>
      </c>
      <c r="E296" s="2">
        <v>4</v>
      </c>
      <c r="F296" s="2">
        <v>158</v>
      </c>
      <c r="G296" s="2">
        <v>162</v>
      </c>
      <c r="H296" s="4" t="str">
        <f>IF(Table13[[#This Row],[cnt]]&gt;100,"High","Low")</f>
        <v>High</v>
      </c>
    </row>
    <row r="297" spans="1:8" ht="14.25" x14ac:dyDescent="0.2">
      <c r="A297" s="2">
        <v>296</v>
      </c>
      <c r="B297" s="2">
        <v>0.18179999999999999</v>
      </c>
      <c r="C297" s="2">
        <v>0.4</v>
      </c>
      <c r="D297" s="2">
        <v>0.32840000000000003</v>
      </c>
      <c r="E297" s="2">
        <v>3</v>
      </c>
      <c r="F297" s="2">
        <v>141</v>
      </c>
      <c r="G297" s="2">
        <v>144</v>
      </c>
      <c r="H297" s="4" t="str">
        <f>IF(Table13[[#This Row],[cnt]]&gt;100,"High","Low")</f>
        <v>High</v>
      </c>
    </row>
    <row r="298" spans="1:8" ht="14.25" x14ac:dyDescent="0.2">
      <c r="A298" s="2">
        <v>297</v>
      </c>
      <c r="B298" s="2">
        <v>0.1515</v>
      </c>
      <c r="C298" s="2">
        <v>0.47</v>
      </c>
      <c r="D298" s="2">
        <v>0.25369999999999998</v>
      </c>
      <c r="E298" s="2">
        <v>1</v>
      </c>
      <c r="F298" s="2">
        <v>98</v>
      </c>
      <c r="G298" s="2">
        <v>99</v>
      </c>
      <c r="H298" s="4" t="str">
        <f>IF(Table13[[#This Row],[cnt]]&gt;100,"High","Low")</f>
        <v>Low</v>
      </c>
    </row>
    <row r="299" spans="1:8" ht="14.25" x14ac:dyDescent="0.2">
      <c r="A299" s="2">
        <v>298</v>
      </c>
      <c r="B299" s="2">
        <v>0.1515</v>
      </c>
      <c r="C299" s="2">
        <v>0.47</v>
      </c>
      <c r="D299" s="2">
        <v>0.22389999999999999</v>
      </c>
      <c r="E299" s="2">
        <v>0</v>
      </c>
      <c r="F299" s="2">
        <v>64</v>
      </c>
      <c r="G299" s="2">
        <v>64</v>
      </c>
      <c r="H299" s="4" t="str">
        <f>IF(Table13[[#This Row],[cnt]]&gt;100,"High","Low")</f>
        <v>Low</v>
      </c>
    </row>
    <row r="300" spans="1:8" ht="14.25" x14ac:dyDescent="0.2">
      <c r="A300" s="2">
        <v>299</v>
      </c>
      <c r="B300" s="2">
        <v>0.1212</v>
      </c>
      <c r="C300" s="2">
        <v>0.46</v>
      </c>
      <c r="D300" s="2">
        <v>0.29849999999999999</v>
      </c>
      <c r="E300" s="2">
        <v>0</v>
      </c>
      <c r="F300" s="2">
        <v>40</v>
      </c>
      <c r="G300" s="2">
        <v>40</v>
      </c>
      <c r="H300" s="4" t="str">
        <f>IF(Table13[[#This Row],[cnt]]&gt;100,"High","Low")</f>
        <v>Low</v>
      </c>
    </row>
    <row r="301" spans="1:8" ht="14.25" x14ac:dyDescent="0.2">
      <c r="A301" s="2">
        <v>300</v>
      </c>
      <c r="B301" s="2">
        <v>0.1212</v>
      </c>
      <c r="C301" s="2">
        <v>0.46</v>
      </c>
      <c r="D301" s="2">
        <v>0.32840000000000003</v>
      </c>
      <c r="E301" s="2">
        <v>0</v>
      </c>
      <c r="F301" s="2">
        <v>30</v>
      </c>
      <c r="G301" s="2">
        <v>30</v>
      </c>
      <c r="H301" s="4" t="str">
        <f>IF(Table13[[#This Row],[cnt]]&gt;100,"High","Low")</f>
        <v>Low</v>
      </c>
    </row>
    <row r="302" spans="1:8" ht="14.25" x14ac:dyDescent="0.2">
      <c r="A302" s="2">
        <v>301</v>
      </c>
      <c r="B302" s="2">
        <v>0.13639999999999999</v>
      </c>
      <c r="C302" s="2">
        <v>0.5</v>
      </c>
      <c r="D302" s="2">
        <v>0.19400000000000001</v>
      </c>
      <c r="E302" s="2">
        <v>1</v>
      </c>
      <c r="F302" s="2">
        <v>14</v>
      </c>
      <c r="G302" s="2">
        <v>15</v>
      </c>
      <c r="H302" s="4" t="str">
        <f>IF(Table13[[#This Row],[cnt]]&gt;100,"High","Low")</f>
        <v>Low</v>
      </c>
    </row>
    <row r="303" spans="1:8" ht="14.25" x14ac:dyDescent="0.2">
      <c r="A303" s="2">
        <v>302</v>
      </c>
      <c r="B303" s="2">
        <v>0.13639999999999999</v>
      </c>
      <c r="C303" s="2">
        <v>0.5</v>
      </c>
      <c r="D303" s="2">
        <v>0.19400000000000001</v>
      </c>
      <c r="E303" s="2">
        <v>0</v>
      </c>
      <c r="F303" s="2">
        <v>14</v>
      </c>
      <c r="G303" s="2">
        <v>14</v>
      </c>
      <c r="H303" s="4" t="str">
        <f>IF(Table13[[#This Row],[cnt]]&gt;100,"High","Low")</f>
        <v>Low</v>
      </c>
    </row>
    <row r="304" spans="1:8" ht="14.25" x14ac:dyDescent="0.2">
      <c r="A304" s="2">
        <v>303</v>
      </c>
      <c r="B304" s="2">
        <v>0.1212</v>
      </c>
      <c r="C304" s="2">
        <v>0.54</v>
      </c>
      <c r="D304" s="2">
        <v>0.16420000000000001</v>
      </c>
      <c r="E304" s="2">
        <v>0</v>
      </c>
      <c r="F304" s="2">
        <v>5</v>
      </c>
      <c r="G304" s="2">
        <v>5</v>
      </c>
      <c r="H304" s="4" t="str">
        <f>IF(Table13[[#This Row],[cnt]]&gt;100,"High","Low")</f>
        <v>Low</v>
      </c>
    </row>
    <row r="305" spans="1:8" ht="14.25" x14ac:dyDescent="0.2">
      <c r="A305" s="2">
        <v>304</v>
      </c>
      <c r="B305" s="2">
        <v>0.1212</v>
      </c>
      <c r="C305" s="2">
        <v>0.54</v>
      </c>
      <c r="D305" s="2">
        <v>0.1343</v>
      </c>
      <c r="E305" s="2">
        <v>0</v>
      </c>
      <c r="F305" s="2">
        <v>1</v>
      </c>
      <c r="G305" s="2">
        <v>1</v>
      </c>
      <c r="H305" s="4" t="str">
        <f>IF(Table13[[#This Row],[cnt]]&gt;100,"High","Low")</f>
        <v>Low</v>
      </c>
    </row>
    <row r="306" spans="1:8" ht="14.25" x14ac:dyDescent="0.2">
      <c r="A306" s="2">
        <v>305</v>
      </c>
      <c r="B306" s="2">
        <v>0.13639999999999999</v>
      </c>
      <c r="C306" s="2">
        <v>0.54</v>
      </c>
      <c r="D306" s="2">
        <v>0.1045</v>
      </c>
      <c r="E306" s="2">
        <v>0</v>
      </c>
      <c r="F306" s="2">
        <v>1</v>
      </c>
      <c r="G306" s="2">
        <v>1</v>
      </c>
      <c r="H306" s="4" t="str">
        <f>IF(Table13[[#This Row],[cnt]]&gt;100,"High","Low")</f>
        <v>Low</v>
      </c>
    </row>
    <row r="307" spans="1:8" ht="14.25" x14ac:dyDescent="0.2">
      <c r="A307" s="2">
        <v>306</v>
      </c>
      <c r="B307" s="2">
        <v>0.13639999999999999</v>
      </c>
      <c r="C307" s="2">
        <v>0.54</v>
      </c>
      <c r="D307" s="2">
        <v>8.9599999999999999E-2</v>
      </c>
      <c r="E307" s="2">
        <v>0</v>
      </c>
      <c r="F307" s="2">
        <v>8</v>
      </c>
      <c r="G307" s="2">
        <v>8</v>
      </c>
      <c r="H307" s="4" t="str">
        <f>IF(Table13[[#This Row],[cnt]]&gt;100,"High","Low")</f>
        <v>Low</v>
      </c>
    </row>
    <row r="308" spans="1:8" ht="14.25" x14ac:dyDescent="0.2">
      <c r="A308" s="2">
        <v>307</v>
      </c>
      <c r="B308" s="2">
        <v>0.18179999999999999</v>
      </c>
      <c r="C308" s="2">
        <v>0.54</v>
      </c>
      <c r="D308" s="2">
        <v>0</v>
      </c>
      <c r="E308" s="2">
        <v>0</v>
      </c>
      <c r="F308" s="2">
        <v>17</v>
      </c>
      <c r="G308" s="2">
        <v>17</v>
      </c>
      <c r="H308" s="4" t="str">
        <f>IF(Table13[[#This Row],[cnt]]&gt;100,"High","Low")</f>
        <v>Low</v>
      </c>
    </row>
    <row r="309" spans="1:8" ht="14.25" x14ac:dyDescent="0.2">
      <c r="A309" s="2">
        <v>308</v>
      </c>
      <c r="B309" s="2">
        <v>0.1212</v>
      </c>
      <c r="C309" s="2">
        <v>0.74</v>
      </c>
      <c r="D309" s="2">
        <v>0.16420000000000001</v>
      </c>
      <c r="E309" s="2">
        <v>0</v>
      </c>
      <c r="F309" s="2">
        <v>70</v>
      </c>
      <c r="G309" s="2">
        <v>70</v>
      </c>
      <c r="H309" s="4" t="str">
        <f>IF(Table13[[#This Row],[cnt]]&gt;100,"High","Low")</f>
        <v>Low</v>
      </c>
    </row>
    <row r="310" spans="1:8" ht="14.25" x14ac:dyDescent="0.2">
      <c r="A310" s="2">
        <v>309</v>
      </c>
      <c r="B310" s="2">
        <v>0.16669999999999999</v>
      </c>
      <c r="C310" s="2">
        <v>0.68</v>
      </c>
      <c r="D310" s="2">
        <v>0</v>
      </c>
      <c r="E310" s="2">
        <v>2</v>
      </c>
      <c r="F310" s="2">
        <v>156</v>
      </c>
      <c r="G310" s="2">
        <v>158</v>
      </c>
      <c r="H310" s="4" t="str">
        <f>IF(Table13[[#This Row],[cnt]]&gt;100,"High","Low")</f>
        <v>High</v>
      </c>
    </row>
    <row r="311" spans="1:8" ht="14.25" x14ac:dyDescent="0.2">
      <c r="A311" s="2">
        <v>310</v>
      </c>
      <c r="B311" s="2">
        <v>0.1515</v>
      </c>
      <c r="C311" s="2">
        <v>0.69</v>
      </c>
      <c r="D311" s="2">
        <v>0.1343</v>
      </c>
      <c r="E311" s="2">
        <v>0</v>
      </c>
      <c r="F311" s="2">
        <v>117</v>
      </c>
      <c r="G311" s="2">
        <v>117</v>
      </c>
      <c r="H311" s="4" t="str">
        <f>IF(Table13[[#This Row],[cnt]]&gt;100,"High","Low")</f>
        <v>High</v>
      </c>
    </row>
    <row r="312" spans="1:8" ht="14.25" x14ac:dyDescent="0.2">
      <c r="A312" s="2">
        <v>311</v>
      </c>
      <c r="B312" s="2">
        <v>0.18179999999999999</v>
      </c>
      <c r="C312" s="2">
        <v>0.55000000000000004</v>
      </c>
      <c r="D312" s="2">
        <v>0.19400000000000001</v>
      </c>
      <c r="E312" s="2">
        <v>4</v>
      </c>
      <c r="F312" s="2">
        <v>40</v>
      </c>
      <c r="G312" s="2">
        <v>44</v>
      </c>
      <c r="H312" s="4" t="str">
        <f>IF(Table13[[#This Row],[cnt]]&gt;100,"High","Low")</f>
        <v>Low</v>
      </c>
    </row>
    <row r="313" spans="1:8" ht="14.25" x14ac:dyDescent="0.2">
      <c r="A313" s="2">
        <v>312</v>
      </c>
      <c r="B313" s="2">
        <v>0.16669999999999999</v>
      </c>
      <c r="C313" s="2">
        <v>0.51</v>
      </c>
      <c r="D313" s="2">
        <v>0.28360000000000002</v>
      </c>
      <c r="E313" s="2">
        <v>6</v>
      </c>
      <c r="F313" s="2">
        <v>47</v>
      </c>
      <c r="G313" s="2">
        <v>53</v>
      </c>
      <c r="H313" s="4" t="str">
        <f>IF(Table13[[#This Row],[cnt]]&gt;100,"High","Low")</f>
        <v>Low</v>
      </c>
    </row>
    <row r="314" spans="1:8" ht="14.25" x14ac:dyDescent="0.2">
      <c r="A314" s="2">
        <v>313</v>
      </c>
      <c r="B314" s="2">
        <v>0.19700000000000001</v>
      </c>
      <c r="C314" s="2">
        <v>0.44</v>
      </c>
      <c r="D314" s="2">
        <v>0.25369999999999998</v>
      </c>
      <c r="E314" s="2">
        <v>2</v>
      </c>
      <c r="F314" s="2">
        <v>59</v>
      </c>
      <c r="G314" s="2">
        <v>61</v>
      </c>
      <c r="H314" s="4" t="str">
        <f>IF(Table13[[#This Row],[cnt]]&gt;100,"High","Low")</f>
        <v>Low</v>
      </c>
    </row>
    <row r="315" spans="1:8" ht="14.25" x14ac:dyDescent="0.2">
      <c r="A315" s="2">
        <v>314</v>
      </c>
      <c r="B315" s="2">
        <v>0.19700000000000001</v>
      </c>
      <c r="C315" s="2">
        <v>0.37</v>
      </c>
      <c r="D315" s="2">
        <v>0.3881</v>
      </c>
      <c r="E315" s="2">
        <v>4</v>
      </c>
      <c r="F315" s="2">
        <v>73</v>
      </c>
      <c r="G315" s="2">
        <v>77</v>
      </c>
      <c r="H315" s="4" t="str">
        <f>IF(Table13[[#This Row],[cnt]]&gt;100,"High","Low")</f>
        <v>Low</v>
      </c>
    </row>
    <row r="316" spans="1:8" ht="14.25" x14ac:dyDescent="0.2">
      <c r="A316" s="2">
        <v>315</v>
      </c>
      <c r="B316" s="2">
        <v>0.21210000000000001</v>
      </c>
      <c r="C316" s="2">
        <v>0.41</v>
      </c>
      <c r="D316" s="2">
        <v>0.28360000000000002</v>
      </c>
      <c r="E316" s="2">
        <v>5</v>
      </c>
      <c r="F316" s="2">
        <v>59</v>
      </c>
      <c r="G316" s="2">
        <v>64</v>
      </c>
      <c r="H316" s="4" t="str">
        <f>IF(Table13[[#This Row],[cnt]]&gt;100,"High","Low")</f>
        <v>Low</v>
      </c>
    </row>
    <row r="317" spans="1:8" ht="14.25" x14ac:dyDescent="0.2">
      <c r="A317" s="2">
        <v>316</v>
      </c>
      <c r="B317" s="2">
        <v>0.2424</v>
      </c>
      <c r="C317" s="2">
        <v>0.38</v>
      </c>
      <c r="D317" s="2">
        <v>0.16420000000000001</v>
      </c>
      <c r="E317" s="2">
        <v>9</v>
      </c>
      <c r="F317" s="2">
        <v>59</v>
      </c>
      <c r="G317" s="2">
        <v>68</v>
      </c>
      <c r="H317" s="4" t="str">
        <f>IF(Table13[[#This Row],[cnt]]&gt;100,"High","Low")</f>
        <v>Low</v>
      </c>
    </row>
    <row r="318" spans="1:8" ht="14.25" x14ac:dyDescent="0.2">
      <c r="A318" s="2">
        <v>317</v>
      </c>
      <c r="B318" s="2">
        <v>0.2424</v>
      </c>
      <c r="C318" s="2">
        <v>0.41</v>
      </c>
      <c r="D318" s="2">
        <v>0.1045</v>
      </c>
      <c r="E318" s="2">
        <v>3</v>
      </c>
      <c r="F318" s="2">
        <v>87</v>
      </c>
      <c r="G318" s="2">
        <v>90</v>
      </c>
      <c r="H318" s="4" t="str">
        <f>IF(Table13[[#This Row],[cnt]]&gt;100,"High","Low")</f>
        <v>Low</v>
      </c>
    </row>
    <row r="319" spans="1:8" ht="14.25" x14ac:dyDescent="0.2">
      <c r="A319" s="2">
        <v>318</v>
      </c>
      <c r="B319" s="2">
        <v>0.2273</v>
      </c>
      <c r="C319" s="2">
        <v>0.41</v>
      </c>
      <c r="D319" s="2">
        <v>0.16420000000000001</v>
      </c>
      <c r="E319" s="2">
        <v>4</v>
      </c>
      <c r="F319" s="2">
        <v>155</v>
      </c>
      <c r="G319" s="2">
        <v>159</v>
      </c>
      <c r="H319" s="4" t="str">
        <f>IF(Table13[[#This Row],[cnt]]&gt;100,"High","Low")</f>
        <v>High</v>
      </c>
    </row>
    <row r="320" spans="1:8" ht="14.25" x14ac:dyDescent="0.2">
      <c r="A320" s="2">
        <v>319</v>
      </c>
      <c r="B320" s="2">
        <v>0.2576</v>
      </c>
      <c r="C320" s="2">
        <v>0.47</v>
      </c>
      <c r="D320" s="2">
        <v>0</v>
      </c>
      <c r="E320" s="2">
        <v>5</v>
      </c>
      <c r="F320" s="2">
        <v>134</v>
      </c>
      <c r="G320" s="2">
        <v>139</v>
      </c>
      <c r="H320" s="4" t="str">
        <f>IF(Table13[[#This Row],[cnt]]&gt;100,"High","Low")</f>
        <v>High</v>
      </c>
    </row>
    <row r="321" spans="1:8" ht="14.25" x14ac:dyDescent="0.2">
      <c r="A321" s="2">
        <v>320</v>
      </c>
      <c r="B321" s="2">
        <v>0.19700000000000001</v>
      </c>
      <c r="C321" s="2">
        <v>0.59</v>
      </c>
      <c r="D321" s="2">
        <v>8.9599999999999999E-2</v>
      </c>
      <c r="E321" s="2">
        <v>3</v>
      </c>
      <c r="F321" s="2">
        <v>89</v>
      </c>
      <c r="G321" s="2">
        <v>92</v>
      </c>
      <c r="H321" s="4" t="str">
        <f>IF(Table13[[#This Row],[cnt]]&gt;100,"High","Low")</f>
        <v>Low</v>
      </c>
    </row>
    <row r="322" spans="1:8" ht="14.25" x14ac:dyDescent="0.2">
      <c r="A322" s="2">
        <v>321</v>
      </c>
      <c r="B322" s="2">
        <v>0.2424</v>
      </c>
      <c r="C322" s="2">
        <v>0.59</v>
      </c>
      <c r="D322" s="2">
        <v>0</v>
      </c>
      <c r="E322" s="2">
        <v>0</v>
      </c>
      <c r="F322" s="2">
        <v>68</v>
      </c>
      <c r="G322" s="2">
        <v>68</v>
      </c>
      <c r="H322" s="4" t="str">
        <f>IF(Table13[[#This Row],[cnt]]&gt;100,"High","Low")</f>
        <v>Low</v>
      </c>
    </row>
    <row r="323" spans="1:8" ht="14.25" x14ac:dyDescent="0.2">
      <c r="A323" s="2">
        <v>322</v>
      </c>
      <c r="B323" s="2">
        <v>0.2273</v>
      </c>
      <c r="C323" s="2">
        <v>0.69</v>
      </c>
      <c r="D323" s="2">
        <v>0</v>
      </c>
      <c r="E323" s="2">
        <v>4</v>
      </c>
      <c r="F323" s="2">
        <v>48</v>
      </c>
      <c r="G323" s="2">
        <v>52</v>
      </c>
      <c r="H323" s="4" t="str">
        <f>IF(Table13[[#This Row],[cnt]]&gt;100,"High","Low")</f>
        <v>Low</v>
      </c>
    </row>
    <row r="324" spans="1:8" ht="14.25" x14ac:dyDescent="0.2">
      <c r="A324" s="2">
        <v>323</v>
      </c>
      <c r="B324" s="2">
        <v>0.2273</v>
      </c>
      <c r="C324" s="2">
        <v>0.69</v>
      </c>
      <c r="D324" s="2">
        <v>0</v>
      </c>
      <c r="E324" s="2">
        <v>2</v>
      </c>
      <c r="F324" s="2">
        <v>34</v>
      </c>
      <c r="G324" s="2">
        <v>36</v>
      </c>
      <c r="H324" s="4" t="str">
        <f>IF(Table13[[#This Row],[cnt]]&gt;100,"High","Low")</f>
        <v>Low</v>
      </c>
    </row>
    <row r="325" spans="1:8" ht="14.25" x14ac:dyDescent="0.2">
      <c r="A325" s="2">
        <v>324</v>
      </c>
      <c r="B325" s="2">
        <v>0.2424</v>
      </c>
      <c r="C325" s="2">
        <v>0.55000000000000004</v>
      </c>
      <c r="D325" s="2">
        <v>0</v>
      </c>
      <c r="E325" s="2">
        <v>1</v>
      </c>
      <c r="F325" s="2">
        <v>26</v>
      </c>
      <c r="G325" s="2">
        <v>27</v>
      </c>
      <c r="H325" s="4" t="str">
        <f>IF(Table13[[#This Row],[cnt]]&gt;100,"High","Low")</f>
        <v>Low</v>
      </c>
    </row>
    <row r="326" spans="1:8" ht="14.25" x14ac:dyDescent="0.2">
      <c r="A326" s="2">
        <v>325</v>
      </c>
      <c r="B326" s="2">
        <v>0.2424</v>
      </c>
      <c r="C326" s="2">
        <v>0.55000000000000004</v>
      </c>
      <c r="D326" s="2">
        <v>0</v>
      </c>
      <c r="E326" s="2">
        <v>3</v>
      </c>
      <c r="F326" s="2">
        <v>25</v>
      </c>
      <c r="G326" s="2">
        <v>28</v>
      </c>
      <c r="H326" s="4" t="str">
        <f>IF(Table13[[#This Row],[cnt]]&gt;100,"High","Low")</f>
        <v>Low</v>
      </c>
    </row>
    <row r="327" spans="1:8" ht="14.25" x14ac:dyDescent="0.2">
      <c r="A327" s="2">
        <v>326</v>
      </c>
      <c r="B327" s="2">
        <v>0.19700000000000001</v>
      </c>
      <c r="C327" s="2">
        <v>0.59</v>
      </c>
      <c r="D327" s="2">
        <v>8.9599999999999999E-2</v>
      </c>
      <c r="E327" s="2">
        <v>2</v>
      </c>
      <c r="F327" s="2">
        <v>18</v>
      </c>
      <c r="G327" s="2">
        <v>20</v>
      </c>
      <c r="H327" s="4" t="str">
        <f>IF(Table13[[#This Row],[cnt]]&gt;100,"High","Low")</f>
        <v>Low</v>
      </c>
    </row>
    <row r="328" spans="1:8" ht="14.25" x14ac:dyDescent="0.2">
      <c r="A328" s="2">
        <v>327</v>
      </c>
      <c r="B328" s="2">
        <v>0.19700000000000001</v>
      </c>
      <c r="C328" s="2">
        <v>0.59</v>
      </c>
      <c r="D328" s="2">
        <v>8.9599999999999999E-2</v>
      </c>
      <c r="E328" s="2">
        <v>0</v>
      </c>
      <c r="F328" s="2">
        <v>12</v>
      </c>
      <c r="G328" s="2">
        <v>12</v>
      </c>
      <c r="H328" s="4" t="str">
        <f>IF(Table13[[#This Row],[cnt]]&gt;100,"High","Low")</f>
        <v>Low</v>
      </c>
    </row>
    <row r="329" spans="1:8" ht="14.25" x14ac:dyDescent="0.2">
      <c r="A329" s="2">
        <v>328</v>
      </c>
      <c r="B329" s="2">
        <v>0.2273</v>
      </c>
      <c r="C329" s="2">
        <v>0.59</v>
      </c>
      <c r="D329" s="2">
        <v>0</v>
      </c>
      <c r="E329" s="2">
        <v>1</v>
      </c>
      <c r="F329" s="2">
        <v>7</v>
      </c>
      <c r="G329" s="2">
        <v>8</v>
      </c>
      <c r="H329" s="4" t="str">
        <f>IF(Table13[[#This Row],[cnt]]&gt;100,"High","Low")</f>
        <v>Low</v>
      </c>
    </row>
    <row r="330" spans="1:8" ht="14.25" x14ac:dyDescent="0.2">
      <c r="A330" s="2">
        <v>329</v>
      </c>
      <c r="B330" s="2">
        <v>0.2273</v>
      </c>
      <c r="C330" s="2">
        <v>0.59</v>
      </c>
      <c r="D330" s="2">
        <v>0</v>
      </c>
      <c r="E330" s="2">
        <v>0</v>
      </c>
      <c r="F330" s="2">
        <v>5</v>
      </c>
      <c r="G330" s="2">
        <v>5</v>
      </c>
      <c r="H330" s="4" t="str">
        <f>IF(Table13[[#This Row],[cnt]]&gt;100,"High","Low")</f>
        <v>Low</v>
      </c>
    </row>
    <row r="331" spans="1:8" ht="14.25" x14ac:dyDescent="0.2">
      <c r="A331" s="2">
        <v>330</v>
      </c>
      <c r="B331" s="2">
        <v>0.2273</v>
      </c>
      <c r="C331" s="2">
        <v>0.59</v>
      </c>
      <c r="D331" s="2">
        <v>0</v>
      </c>
      <c r="E331" s="2">
        <v>0</v>
      </c>
      <c r="F331" s="2">
        <v>1</v>
      </c>
      <c r="G331" s="2">
        <v>1</v>
      </c>
      <c r="H331" s="4" t="str">
        <f>IF(Table13[[#This Row],[cnt]]&gt;100,"High","Low")</f>
        <v>Low</v>
      </c>
    </row>
    <row r="332" spans="1:8" ht="14.25" x14ac:dyDescent="0.2">
      <c r="A332" s="2">
        <v>331</v>
      </c>
      <c r="B332" s="2">
        <v>0.16669999999999999</v>
      </c>
      <c r="C332" s="2">
        <v>0.63</v>
      </c>
      <c r="D332" s="2">
        <v>0.1045</v>
      </c>
      <c r="E332" s="2">
        <v>1</v>
      </c>
      <c r="F332" s="2">
        <v>2</v>
      </c>
      <c r="G332" s="2">
        <v>3</v>
      </c>
      <c r="H332" s="4" t="str">
        <f>IF(Table13[[#This Row],[cnt]]&gt;100,"High","Low")</f>
        <v>Low</v>
      </c>
    </row>
    <row r="333" spans="1:8" ht="14.25" x14ac:dyDescent="0.2">
      <c r="A333" s="2">
        <v>332</v>
      </c>
      <c r="B333" s="2">
        <v>0.21210000000000001</v>
      </c>
      <c r="C333" s="2">
        <v>0.63</v>
      </c>
      <c r="D333" s="2">
        <v>0</v>
      </c>
      <c r="E333" s="2">
        <v>1</v>
      </c>
      <c r="F333" s="2">
        <v>9</v>
      </c>
      <c r="G333" s="2">
        <v>10</v>
      </c>
      <c r="H333" s="4" t="str">
        <f>IF(Table13[[#This Row],[cnt]]&gt;100,"High","Low")</f>
        <v>Low</v>
      </c>
    </row>
    <row r="334" spans="1:8" ht="14.25" x14ac:dyDescent="0.2">
      <c r="A334" s="2">
        <v>333</v>
      </c>
      <c r="B334" s="2">
        <v>0.1515</v>
      </c>
      <c r="C334" s="2">
        <v>0.63</v>
      </c>
      <c r="D334" s="2">
        <v>0.1343</v>
      </c>
      <c r="E334" s="2">
        <v>1</v>
      </c>
      <c r="F334" s="2">
        <v>22</v>
      </c>
      <c r="G334" s="2">
        <v>23</v>
      </c>
      <c r="H334" s="4" t="str">
        <f>IF(Table13[[#This Row],[cnt]]&gt;100,"High","Low")</f>
        <v>Low</v>
      </c>
    </row>
    <row r="335" spans="1:8" ht="14.25" x14ac:dyDescent="0.2">
      <c r="A335" s="2">
        <v>334</v>
      </c>
      <c r="B335" s="2">
        <v>0.18179999999999999</v>
      </c>
      <c r="C335" s="2">
        <v>0.64</v>
      </c>
      <c r="D335" s="2">
        <v>0.1343</v>
      </c>
      <c r="E335" s="2">
        <v>2</v>
      </c>
      <c r="F335" s="2">
        <v>31</v>
      </c>
      <c r="G335" s="2">
        <v>33</v>
      </c>
      <c r="H335" s="4" t="str">
        <f>IF(Table13[[#This Row],[cnt]]&gt;100,"High","Low")</f>
        <v>Low</v>
      </c>
    </row>
    <row r="336" spans="1:8" ht="14.25" x14ac:dyDescent="0.2">
      <c r="A336" s="2">
        <v>335</v>
      </c>
      <c r="B336" s="2">
        <v>0.19700000000000001</v>
      </c>
      <c r="C336" s="2">
        <v>0.59</v>
      </c>
      <c r="D336" s="2">
        <v>0.16420000000000001</v>
      </c>
      <c r="E336" s="2">
        <v>2</v>
      </c>
      <c r="F336" s="2">
        <v>57</v>
      </c>
      <c r="G336" s="2">
        <v>59</v>
      </c>
      <c r="H336" s="4" t="str">
        <f>IF(Table13[[#This Row],[cnt]]&gt;100,"High","Low")</f>
        <v>Low</v>
      </c>
    </row>
    <row r="337" spans="1:8" ht="14.25" x14ac:dyDescent="0.2">
      <c r="A337" s="2">
        <v>336</v>
      </c>
      <c r="B337" s="2">
        <v>0.19700000000000001</v>
      </c>
      <c r="C337" s="2">
        <v>0.55000000000000004</v>
      </c>
      <c r="D337" s="2">
        <v>0.22389999999999999</v>
      </c>
      <c r="E337" s="2">
        <v>18</v>
      </c>
      <c r="F337" s="2">
        <v>54</v>
      </c>
      <c r="G337" s="2">
        <v>72</v>
      </c>
      <c r="H337" s="4" t="str">
        <f>IF(Table13[[#This Row],[cnt]]&gt;100,"High","Low")</f>
        <v>Low</v>
      </c>
    </row>
    <row r="338" spans="1:8" ht="14.25" x14ac:dyDescent="0.2">
      <c r="A338" s="2">
        <v>337</v>
      </c>
      <c r="B338" s="2">
        <v>0.2273</v>
      </c>
      <c r="C338" s="2">
        <v>0.48</v>
      </c>
      <c r="D338" s="2">
        <v>0.22389999999999999</v>
      </c>
      <c r="E338" s="2">
        <v>15</v>
      </c>
      <c r="F338" s="2">
        <v>74</v>
      </c>
      <c r="G338" s="2">
        <v>89</v>
      </c>
      <c r="H338" s="4" t="str">
        <f>IF(Table13[[#This Row],[cnt]]&gt;100,"High","Low")</f>
        <v>Low</v>
      </c>
    </row>
    <row r="339" spans="1:8" ht="14.25" x14ac:dyDescent="0.2">
      <c r="A339" s="2">
        <v>338</v>
      </c>
      <c r="B339" s="2">
        <v>0.2576</v>
      </c>
      <c r="C339" s="2">
        <v>0.38</v>
      </c>
      <c r="D339" s="2">
        <v>0.29849999999999999</v>
      </c>
      <c r="E339" s="2">
        <v>21</v>
      </c>
      <c r="F339" s="2">
        <v>80</v>
      </c>
      <c r="G339" s="2">
        <v>101</v>
      </c>
      <c r="H339" s="4" t="str">
        <f>IF(Table13[[#This Row],[cnt]]&gt;100,"High","Low")</f>
        <v>High</v>
      </c>
    </row>
    <row r="340" spans="1:8" ht="14.25" x14ac:dyDescent="0.2">
      <c r="A340" s="2">
        <v>339</v>
      </c>
      <c r="B340" s="2">
        <v>0.28789999999999999</v>
      </c>
      <c r="C340" s="2">
        <v>0.39</v>
      </c>
      <c r="D340" s="2">
        <v>0.28360000000000002</v>
      </c>
      <c r="E340" s="2">
        <v>26</v>
      </c>
      <c r="F340" s="2">
        <v>92</v>
      </c>
      <c r="G340" s="2">
        <v>118</v>
      </c>
      <c r="H340" s="4" t="str">
        <f>IF(Table13[[#This Row],[cnt]]&gt;100,"High","Low")</f>
        <v>High</v>
      </c>
    </row>
    <row r="341" spans="1:8" ht="14.25" x14ac:dyDescent="0.2">
      <c r="A341" s="2">
        <v>340</v>
      </c>
      <c r="B341" s="2">
        <v>0.31819999999999998</v>
      </c>
      <c r="C341" s="2">
        <v>0.36</v>
      </c>
      <c r="D341" s="2">
        <v>0.19400000000000001</v>
      </c>
      <c r="E341" s="2">
        <v>21</v>
      </c>
      <c r="F341" s="2">
        <v>108</v>
      </c>
      <c r="G341" s="2">
        <v>129</v>
      </c>
      <c r="H341" s="4" t="str">
        <f>IF(Table13[[#This Row],[cnt]]&gt;100,"High","Low")</f>
        <v>High</v>
      </c>
    </row>
    <row r="342" spans="1:8" ht="14.25" x14ac:dyDescent="0.2">
      <c r="A342" s="2">
        <v>341</v>
      </c>
      <c r="B342" s="2">
        <v>0.33329999999999999</v>
      </c>
      <c r="C342" s="2">
        <v>0.34</v>
      </c>
      <c r="D342" s="2">
        <v>0.19400000000000001</v>
      </c>
      <c r="E342" s="2">
        <v>33</v>
      </c>
      <c r="F342" s="2">
        <v>95</v>
      </c>
      <c r="G342" s="2">
        <v>128</v>
      </c>
      <c r="H342" s="4" t="str">
        <f>IF(Table13[[#This Row],[cnt]]&gt;100,"High","Low")</f>
        <v>High</v>
      </c>
    </row>
    <row r="343" spans="1:8" ht="14.25" x14ac:dyDescent="0.2">
      <c r="A343" s="2">
        <v>342</v>
      </c>
      <c r="B343" s="2">
        <v>0.30299999999999999</v>
      </c>
      <c r="C343" s="2">
        <v>0.36</v>
      </c>
      <c r="D343" s="2">
        <v>0.28360000000000002</v>
      </c>
      <c r="E343" s="2">
        <v>29</v>
      </c>
      <c r="F343" s="2">
        <v>54</v>
      </c>
      <c r="G343" s="2">
        <v>83</v>
      </c>
      <c r="H343" s="4" t="str">
        <f>IF(Table13[[#This Row],[cnt]]&gt;100,"High","Low")</f>
        <v>Low</v>
      </c>
    </row>
    <row r="344" spans="1:8" ht="14.25" x14ac:dyDescent="0.2">
      <c r="A344" s="2">
        <v>343</v>
      </c>
      <c r="B344" s="2">
        <v>0.28789999999999999</v>
      </c>
      <c r="C344" s="2">
        <v>0.45</v>
      </c>
      <c r="D344" s="2">
        <v>0.25369999999999998</v>
      </c>
      <c r="E344" s="2">
        <v>15</v>
      </c>
      <c r="F344" s="2">
        <v>69</v>
      </c>
      <c r="G344" s="2">
        <v>84</v>
      </c>
      <c r="H344" s="4" t="str">
        <f>IF(Table13[[#This Row],[cnt]]&gt;100,"High","Low")</f>
        <v>Low</v>
      </c>
    </row>
    <row r="345" spans="1:8" ht="14.25" x14ac:dyDescent="0.2">
      <c r="A345" s="2">
        <v>344</v>
      </c>
      <c r="B345" s="2">
        <v>0.30299999999999999</v>
      </c>
      <c r="C345" s="2">
        <v>0.39</v>
      </c>
      <c r="D345" s="2">
        <v>0.25369999999999998</v>
      </c>
      <c r="E345" s="2">
        <v>14</v>
      </c>
      <c r="F345" s="2">
        <v>60</v>
      </c>
      <c r="G345" s="2">
        <v>74</v>
      </c>
      <c r="H345" s="4" t="str">
        <f>IF(Table13[[#This Row],[cnt]]&gt;100,"High","Low")</f>
        <v>Low</v>
      </c>
    </row>
    <row r="346" spans="1:8" ht="14.25" x14ac:dyDescent="0.2">
      <c r="A346" s="2">
        <v>345</v>
      </c>
      <c r="B346" s="2">
        <v>0.30299999999999999</v>
      </c>
      <c r="C346" s="2">
        <v>0.39</v>
      </c>
      <c r="D346" s="2">
        <v>0.25369999999999998</v>
      </c>
      <c r="E346" s="2">
        <v>6</v>
      </c>
      <c r="F346" s="2">
        <v>35</v>
      </c>
      <c r="G346" s="2">
        <v>41</v>
      </c>
      <c r="H346" s="4" t="str">
        <f>IF(Table13[[#This Row],[cnt]]&gt;100,"High","Low")</f>
        <v>Low</v>
      </c>
    </row>
    <row r="347" spans="1:8" ht="14.25" x14ac:dyDescent="0.2">
      <c r="A347" s="2">
        <v>346</v>
      </c>
      <c r="B347" s="2">
        <v>0.30299999999999999</v>
      </c>
      <c r="C347" s="2">
        <v>0.39</v>
      </c>
      <c r="D347" s="2">
        <v>0.22389999999999999</v>
      </c>
      <c r="E347" s="2">
        <v>6</v>
      </c>
      <c r="F347" s="2">
        <v>51</v>
      </c>
      <c r="G347" s="2">
        <v>57</v>
      </c>
      <c r="H347" s="4" t="str">
        <f>IF(Table13[[#This Row],[cnt]]&gt;100,"High","Low")</f>
        <v>Low</v>
      </c>
    </row>
    <row r="348" spans="1:8" ht="14.25" x14ac:dyDescent="0.2">
      <c r="A348" s="2">
        <v>347</v>
      </c>
      <c r="B348" s="2">
        <v>0.31819999999999998</v>
      </c>
      <c r="C348" s="2">
        <v>0.42</v>
      </c>
      <c r="D348" s="2">
        <v>0.1045</v>
      </c>
      <c r="E348" s="2">
        <v>0</v>
      </c>
      <c r="F348" s="2">
        <v>26</v>
      </c>
      <c r="G348" s="2">
        <v>26</v>
      </c>
      <c r="H348" s="4" t="str">
        <f>IF(Table13[[#This Row],[cnt]]&gt;100,"High","Low")</f>
        <v>Low</v>
      </c>
    </row>
    <row r="349" spans="1:8" ht="14.25" x14ac:dyDescent="0.2">
      <c r="A349" s="2">
        <v>348</v>
      </c>
      <c r="B349" s="2">
        <v>0.28789999999999999</v>
      </c>
      <c r="C349" s="2">
        <v>0.45</v>
      </c>
      <c r="D349" s="2">
        <v>0.28360000000000002</v>
      </c>
      <c r="E349" s="2">
        <v>5</v>
      </c>
      <c r="F349" s="2">
        <v>39</v>
      </c>
      <c r="G349" s="2">
        <v>44</v>
      </c>
      <c r="H349" s="4" t="str">
        <f>IF(Table13[[#This Row],[cnt]]&gt;100,"High","Low")</f>
        <v>Low</v>
      </c>
    </row>
    <row r="350" spans="1:8" ht="14.25" x14ac:dyDescent="0.2">
      <c r="A350" s="2">
        <v>349</v>
      </c>
      <c r="B350" s="2">
        <v>0.30299999999999999</v>
      </c>
      <c r="C350" s="2">
        <v>0.56000000000000005</v>
      </c>
      <c r="D350" s="2">
        <v>0</v>
      </c>
      <c r="E350" s="2">
        <v>6</v>
      </c>
      <c r="F350" s="2">
        <v>33</v>
      </c>
      <c r="G350" s="2">
        <v>39</v>
      </c>
      <c r="H350" s="4" t="str">
        <f>IF(Table13[[#This Row],[cnt]]&gt;100,"High","Low")</f>
        <v>Low</v>
      </c>
    </row>
    <row r="351" spans="1:8" ht="14.25" x14ac:dyDescent="0.2">
      <c r="A351" s="2">
        <v>350</v>
      </c>
      <c r="B351" s="2">
        <v>0.2727</v>
      </c>
      <c r="C351" s="2">
        <v>0.56000000000000005</v>
      </c>
      <c r="D351" s="2">
        <v>0.1343</v>
      </c>
      <c r="E351" s="2">
        <v>4</v>
      </c>
      <c r="F351" s="2">
        <v>19</v>
      </c>
      <c r="G351" s="2">
        <v>23</v>
      </c>
      <c r="H351" s="4" t="str">
        <f>IF(Table13[[#This Row],[cnt]]&gt;100,"High","Low")</f>
        <v>Low</v>
      </c>
    </row>
    <row r="352" spans="1:8" ht="14.25" x14ac:dyDescent="0.2">
      <c r="A352" s="2">
        <v>351</v>
      </c>
      <c r="B352" s="2">
        <v>0.28789999999999999</v>
      </c>
      <c r="C352" s="2">
        <v>0.56000000000000005</v>
      </c>
      <c r="D352" s="2">
        <v>8.9599999999999999E-2</v>
      </c>
      <c r="E352" s="2">
        <v>3</v>
      </c>
      <c r="F352" s="2">
        <v>13</v>
      </c>
      <c r="G352" s="2">
        <v>16</v>
      </c>
      <c r="H352" s="4" t="str">
        <f>IF(Table13[[#This Row],[cnt]]&gt;100,"High","Low")</f>
        <v>Low</v>
      </c>
    </row>
    <row r="353" spans="1:8" ht="14.25" x14ac:dyDescent="0.2">
      <c r="A353" s="2">
        <v>352</v>
      </c>
      <c r="B353" s="2">
        <v>0.2727</v>
      </c>
      <c r="C353" s="2">
        <v>0.69</v>
      </c>
      <c r="D353" s="2">
        <v>0</v>
      </c>
      <c r="E353" s="2">
        <v>9</v>
      </c>
      <c r="F353" s="2">
        <v>6</v>
      </c>
      <c r="G353" s="2">
        <v>15</v>
      </c>
      <c r="H353" s="4" t="str">
        <f>IF(Table13[[#This Row],[cnt]]&gt;100,"High","Low")</f>
        <v>Low</v>
      </c>
    </row>
    <row r="354" spans="1:8" ht="14.25" x14ac:dyDescent="0.2">
      <c r="A354" s="2">
        <v>353</v>
      </c>
      <c r="B354" s="2">
        <v>0.2576</v>
      </c>
      <c r="C354" s="2">
        <v>0.56000000000000005</v>
      </c>
      <c r="D354" s="2">
        <v>0.16420000000000001</v>
      </c>
      <c r="E354" s="2">
        <v>0</v>
      </c>
      <c r="F354" s="2">
        <v>1</v>
      </c>
      <c r="G354" s="2">
        <v>1</v>
      </c>
      <c r="H354" s="4" t="str">
        <f>IF(Table13[[#This Row],[cnt]]&gt;100,"High","Low")</f>
        <v>Low</v>
      </c>
    </row>
    <row r="355" spans="1:8" ht="14.25" x14ac:dyDescent="0.2">
      <c r="A355" s="2">
        <v>354</v>
      </c>
      <c r="B355" s="2">
        <v>0.2576</v>
      </c>
      <c r="C355" s="2">
        <v>0.56000000000000005</v>
      </c>
      <c r="D355" s="2">
        <v>0.16420000000000001</v>
      </c>
      <c r="E355" s="2">
        <v>1</v>
      </c>
      <c r="F355" s="2">
        <v>1</v>
      </c>
      <c r="G355" s="2">
        <v>2</v>
      </c>
      <c r="H355" s="4" t="str">
        <f>IF(Table13[[#This Row],[cnt]]&gt;100,"High","Low")</f>
        <v>Low</v>
      </c>
    </row>
    <row r="356" spans="1:8" ht="14.25" x14ac:dyDescent="0.2">
      <c r="A356" s="2">
        <v>355</v>
      </c>
      <c r="B356" s="2">
        <v>0.2576</v>
      </c>
      <c r="C356" s="2">
        <v>0.56000000000000005</v>
      </c>
      <c r="D356" s="2">
        <v>0.16420000000000001</v>
      </c>
      <c r="E356" s="2">
        <v>0</v>
      </c>
      <c r="F356" s="2">
        <v>1</v>
      </c>
      <c r="G356" s="2">
        <v>1</v>
      </c>
      <c r="H356" s="4" t="str">
        <f>IF(Table13[[#This Row],[cnt]]&gt;100,"High","Low")</f>
        <v>Low</v>
      </c>
    </row>
    <row r="357" spans="1:8" ht="14.25" x14ac:dyDescent="0.2">
      <c r="A357" s="2">
        <v>356</v>
      </c>
      <c r="B357" s="2">
        <v>0.21210000000000001</v>
      </c>
      <c r="C357" s="2">
        <v>0.56000000000000005</v>
      </c>
      <c r="D357" s="2">
        <v>0.29849999999999999</v>
      </c>
      <c r="E357" s="2">
        <v>0</v>
      </c>
      <c r="F357" s="2">
        <v>3</v>
      </c>
      <c r="G357" s="2">
        <v>3</v>
      </c>
      <c r="H357" s="4" t="str">
        <f>IF(Table13[[#This Row],[cnt]]&gt;100,"High","Low")</f>
        <v>Low</v>
      </c>
    </row>
    <row r="358" spans="1:8" ht="14.25" x14ac:dyDescent="0.2">
      <c r="A358" s="2">
        <v>357</v>
      </c>
      <c r="B358" s="2">
        <v>0.21210000000000001</v>
      </c>
      <c r="C358" s="2">
        <v>0.55000000000000004</v>
      </c>
      <c r="D358" s="2">
        <v>0.28360000000000002</v>
      </c>
      <c r="E358" s="2">
        <v>0</v>
      </c>
      <c r="F358" s="2">
        <v>18</v>
      </c>
      <c r="G358" s="2">
        <v>18</v>
      </c>
      <c r="H358" s="4" t="str">
        <f>IF(Table13[[#This Row],[cnt]]&gt;100,"High","Low")</f>
        <v>Low</v>
      </c>
    </row>
    <row r="359" spans="1:8" ht="14.25" x14ac:dyDescent="0.2">
      <c r="A359" s="2">
        <v>358</v>
      </c>
      <c r="B359" s="2">
        <v>0.21210000000000001</v>
      </c>
      <c r="C359" s="2">
        <v>0.51</v>
      </c>
      <c r="D359" s="2">
        <v>0.25369999999999998</v>
      </c>
      <c r="E359" s="2">
        <v>3</v>
      </c>
      <c r="F359" s="2">
        <v>29</v>
      </c>
      <c r="G359" s="2">
        <v>32</v>
      </c>
      <c r="H359" s="4" t="str">
        <f>IF(Table13[[#This Row],[cnt]]&gt;100,"High","Low")</f>
        <v>Low</v>
      </c>
    </row>
    <row r="360" spans="1:8" ht="14.25" x14ac:dyDescent="0.2">
      <c r="A360" s="2">
        <v>359</v>
      </c>
      <c r="B360" s="2">
        <v>0.21210000000000001</v>
      </c>
      <c r="C360" s="2">
        <v>0.51</v>
      </c>
      <c r="D360" s="2">
        <v>0.28360000000000002</v>
      </c>
      <c r="E360" s="2">
        <v>8</v>
      </c>
      <c r="F360" s="2">
        <v>71</v>
      </c>
      <c r="G360" s="2">
        <v>79</v>
      </c>
      <c r="H360" s="4" t="str">
        <f>IF(Table13[[#This Row],[cnt]]&gt;100,"High","Low")</f>
        <v>Low</v>
      </c>
    </row>
    <row r="361" spans="1:8" ht="14.25" x14ac:dyDescent="0.2">
      <c r="A361" s="2">
        <v>360</v>
      </c>
      <c r="B361" s="2">
        <v>0.2273</v>
      </c>
      <c r="C361" s="2">
        <v>0.44</v>
      </c>
      <c r="D361" s="2">
        <v>0.25369999999999998</v>
      </c>
      <c r="E361" s="2">
        <v>23</v>
      </c>
      <c r="F361" s="2">
        <v>70</v>
      </c>
      <c r="G361" s="2">
        <v>93</v>
      </c>
      <c r="H361" s="4" t="str">
        <f>IF(Table13[[#This Row],[cnt]]&gt;100,"High","Low")</f>
        <v>Low</v>
      </c>
    </row>
    <row r="362" spans="1:8" ht="14.25" x14ac:dyDescent="0.2">
      <c r="A362" s="2">
        <v>361</v>
      </c>
      <c r="B362" s="2">
        <v>0.21210000000000001</v>
      </c>
      <c r="C362" s="2">
        <v>0.41</v>
      </c>
      <c r="D362" s="2">
        <v>0.28360000000000002</v>
      </c>
      <c r="E362" s="2">
        <v>29</v>
      </c>
      <c r="F362" s="2">
        <v>75</v>
      </c>
      <c r="G362" s="2">
        <v>104</v>
      </c>
      <c r="H362" s="4" t="str">
        <f>IF(Table13[[#This Row],[cnt]]&gt;100,"High","Low")</f>
        <v>High</v>
      </c>
    </row>
    <row r="363" spans="1:8" ht="14.25" x14ac:dyDescent="0.2">
      <c r="A363" s="2">
        <v>362</v>
      </c>
      <c r="B363" s="2">
        <v>0.2273</v>
      </c>
      <c r="C363" s="2">
        <v>0.35</v>
      </c>
      <c r="D363" s="2">
        <v>0.29849999999999999</v>
      </c>
      <c r="E363" s="2">
        <v>23</v>
      </c>
      <c r="F363" s="2">
        <v>95</v>
      </c>
      <c r="G363" s="2">
        <v>118</v>
      </c>
      <c r="H363" s="4" t="str">
        <f>IF(Table13[[#This Row],[cnt]]&gt;100,"High","Low")</f>
        <v>High</v>
      </c>
    </row>
    <row r="364" spans="1:8" ht="14.25" x14ac:dyDescent="0.2">
      <c r="A364" s="2">
        <v>363</v>
      </c>
      <c r="B364" s="2">
        <v>0.2727</v>
      </c>
      <c r="C364" s="2">
        <v>0.36</v>
      </c>
      <c r="D364" s="2">
        <v>0.25369999999999998</v>
      </c>
      <c r="E364" s="2">
        <v>22</v>
      </c>
      <c r="F364" s="2">
        <v>69</v>
      </c>
      <c r="G364" s="2">
        <v>91</v>
      </c>
      <c r="H364" s="4" t="str">
        <f>IF(Table13[[#This Row],[cnt]]&gt;100,"High","Low")</f>
        <v>Low</v>
      </c>
    </row>
    <row r="365" spans="1:8" ht="14.25" x14ac:dyDescent="0.2">
      <c r="A365" s="2">
        <v>364</v>
      </c>
      <c r="B365" s="2">
        <v>0.2424</v>
      </c>
      <c r="C365" s="2">
        <v>0.38</v>
      </c>
      <c r="D365" s="2">
        <v>0.25369999999999998</v>
      </c>
      <c r="E365" s="2">
        <v>35</v>
      </c>
      <c r="F365" s="2">
        <v>78</v>
      </c>
      <c r="G365" s="2">
        <v>113</v>
      </c>
      <c r="H365" s="4" t="str">
        <f>IF(Table13[[#This Row],[cnt]]&gt;100,"High","Low")</f>
        <v>High</v>
      </c>
    </row>
    <row r="366" spans="1:8" ht="14.25" x14ac:dyDescent="0.2">
      <c r="A366" s="2">
        <v>365</v>
      </c>
      <c r="B366" s="2">
        <v>0.2273</v>
      </c>
      <c r="C366" s="2">
        <v>0.38</v>
      </c>
      <c r="D366" s="2">
        <v>0.22389999999999999</v>
      </c>
      <c r="E366" s="2">
        <v>22</v>
      </c>
      <c r="F366" s="2">
        <v>77</v>
      </c>
      <c r="G366" s="2">
        <v>99</v>
      </c>
      <c r="H366" s="4" t="str">
        <f>IF(Table13[[#This Row],[cnt]]&gt;100,"High","Low")</f>
        <v>Low</v>
      </c>
    </row>
    <row r="367" spans="1:8" ht="14.25" x14ac:dyDescent="0.2">
      <c r="A367" s="2">
        <v>366</v>
      </c>
      <c r="B367" s="2">
        <v>0.21210000000000001</v>
      </c>
      <c r="C367" s="2">
        <v>0.37</v>
      </c>
      <c r="D367" s="2">
        <v>0.25369999999999998</v>
      </c>
      <c r="E367" s="2">
        <v>23</v>
      </c>
      <c r="F367" s="2">
        <v>82</v>
      </c>
      <c r="G367" s="2">
        <v>105</v>
      </c>
      <c r="H367" s="4" t="str">
        <f>IF(Table13[[#This Row],[cnt]]&gt;100,"High","Low")</f>
        <v>High</v>
      </c>
    </row>
    <row r="368" spans="1:8" ht="14.25" x14ac:dyDescent="0.2">
      <c r="A368" s="2">
        <v>367</v>
      </c>
      <c r="B368" s="2">
        <v>0.21210000000000001</v>
      </c>
      <c r="C368" s="2">
        <v>0.4</v>
      </c>
      <c r="D368" s="2">
        <v>0.16420000000000001</v>
      </c>
      <c r="E368" s="2">
        <v>11</v>
      </c>
      <c r="F368" s="2">
        <v>56</v>
      </c>
      <c r="G368" s="2">
        <v>67</v>
      </c>
      <c r="H368" s="4" t="str">
        <f>IF(Table13[[#This Row],[cnt]]&gt;100,"High","Low")</f>
        <v>Low</v>
      </c>
    </row>
    <row r="369" spans="1:8" ht="14.25" x14ac:dyDescent="0.2">
      <c r="A369" s="2">
        <v>368</v>
      </c>
      <c r="B369" s="2">
        <v>0.19700000000000001</v>
      </c>
      <c r="C369" s="2">
        <v>0.47</v>
      </c>
      <c r="D369" s="2">
        <v>0.1343</v>
      </c>
      <c r="E369" s="2">
        <v>14</v>
      </c>
      <c r="F369" s="2">
        <v>47</v>
      </c>
      <c r="G369" s="2">
        <v>61</v>
      </c>
      <c r="H369" s="4" t="str">
        <f>IF(Table13[[#This Row],[cnt]]&gt;100,"High","Low")</f>
        <v>Low</v>
      </c>
    </row>
    <row r="370" spans="1:8" ht="14.25" x14ac:dyDescent="0.2">
      <c r="A370" s="2">
        <v>369</v>
      </c>
      <c r="B370" s="2">
        <v>0.19700000000000001</v>
      </c>
      <c r="C370" s="2">
        <v>0.47</v>
      </c>
      <c r="D370" s="2">
        <v>0.16420000000000001</v>
      </c>
      <c r="E370" s="2">
        <v>7</v>
      </c>
      <c r="F370" s="2">
        <v>50</v>
      </c>
      <c r="G370" s="2">
        <v>57</v>
      </c>
      <c r="H370" s="4" t="str">
        <f>IF(Table13[[#This Row],[cnt]]&gt;100,"High","Low")</f>
        <v>Low</v>
      </c>
    </row>
    <row r="371" spans="1:8" ht="14.25" x14ac:dyDescent="0.2">
      <c r="A371" s="2">
        <v>370</v>
      </c>
      <c r="B371" s="2">
        <v>0.19700000000000001</v>
      </c>
      <c r="C371" s="2">
        <v>0.51</v>
      </c>
      <c r="D371" s="2">
        <v>0.16420000000000001</v>
      </c>
      <c r="E371" s="2">
        <v>6</v>
      </c>
      <c r="F371" s="2">
        <v>22</v>
      </c>
      <c r="G371" s="2">
        <v>28</v>
      </c>
      <c r="H371" s="4" t="str">
        <f>IF(Table13[[#This Row],[cnt]]&gt;100,"High","Low")</f>
        <v>Low</v>
      </c>
    </row>
    <row r="372" spans="1:8" ht="14.25" x14ac:dyDescent="0.2">
      <c r="A372" s="2">
        <v>371</v>
      </c>
      <c r="B372" s="2">
        <v>0.21210000000000001</v>
      </c>
      <c r="C372" s="2">
        <v>0.49</v>
      </c>
      <c r="D372" s="2">
        <v>0.1343</v>
      </c>
      <c r="E372" s="2">
        <v>2</v>
      </c>
      <c r="F372" s="2">
        <v>19</v>
      </c>
      <c r="G372" s="2">
        <v>21</v>
      </c>
      <c r="H372" s="4" t="str">
        <f>IF(Table13[[#This Row],[cnt]]&gt;100,"High","Low")</f>
        <v>Low</v>
      </c>
    </row>
    <row r="373" spans="1:8" ht="14.25" x14ac:dyDescent="0.2">
      <c r="A373" s="2">
        <v>372</v>
      </c>
      <c r="B373" s="2">
        <v>0.2273</v>
      </c>
      <c r="C373" s="2">
        <v>0.4</v>
      </c>
      <c r="D373" s="2">
        <v>0.1045</v>
      </c>
      <c r="E373" s="2">
        <v>0</v>
      </c>
      <c r="F373" s="2">
        <v>18</v>
      </c>
      <c r="G373" s="2">
        <v>18</v>
      </c>
      <c r="H373" s="4" t="str">
        <f>IF(Table13[[#This Row],[cnt]]&gt;100,"High","Low")</f>
        <v>Low</v>
      </c>
    </row>
    <row r="374" spans="1:8" ht="14.25" x14ac:dyDescent="0.2">
      <c r="A374" s="2">
        <v>373</v>
      </c>
      <c r="B374" s="2">
        <v>0.19700000000000001</v>
      </c>
      <c r="C374" s="2">
        <v>0.47</v>
      </c>
      <c r="D374" s="2">
        <v>0.22389999999999999</v>
      </c>
      <c r="E374" s="2">
        <v>1</v>
      </c>
      <c r="F374" s="2">
        <v>16</v>
      </c>
      <c r="G374" s="2">
        <v>17</v>
      </c>
      <c r="H374" s="4" t="str">
        <f>IF(Table13[[#This Row],[cnt]]&gt;100,"High","Low")</f>
        <v>Low</v>
      </c>
    </row>
    <row r="375" spans="1:8" ht="14.25" x14ac:dyDescent="0.2">
      <c r="A375" s="2">
        <v>374</v>
      </c>
      <c r="B375" s="2">
        <v>0.19700000000000001</v>
      </c>
      <c r="C375" s="2">
        <v>0.44</v>
      </c>
      <c r="D375" s="2">
        <v>0.19400000000000001</v>
      </c>
      <c r="E375" s="2">
        <v>1</v>
      </c>
      <c r="F375" s="2">
        <v>15</v>
      </c>
      <c r="G375" s="2">
        <v>16</v>
      </c>
      <c r="H375" s="4" t="str">
        <f>IF(Table13[[#This Row],[cnt]]&gt;100,"High","Low")</f>
        <v>Low</v>
      </c>
    </row>
    <row r="376" spans="1:8" ht="14.25" x14ac:dyDescent="0.2">
      <c r="A376" s="2">
        <v>375</v>
      </c>
      <c r="B376" s="2">
        <v>0.16669999999999999</v>
      </c>
      <c r="C376" s="2">
        <v>0.43</v>
      </c>
      <c r="D376" s="2">
        <v>0.25369999999999998</v>
      </c>
      <c r="E376" s="2">
        <v>0</v>
      </c>
      <c r="F376" s="2">
        <v>8</v>
      </c>
      <c r="G376" s="2">
        <v>8</v>
      </c>
      <c r="H376" s="4" t="str">
        <f>IF(Table13[[#This Row],[cnt]]&gt;100,"High","Low")</f>
        <v>Low</v>
      </c>
    </row>
    <row r="377" spans="1:8" ht="14.25" x14ac:dyDescent="0.2">
      <c r="A377" s="2">
        <v>376</v>
      </c>
      <c r="B377" s="2">
        <v>0.18179999999999999</v>
      </c>
      <c r="C377" s="2">
        <v>0.43</v>
      </c>
      <c r="D377" s="2">
        <v>0.19400000000000001</v>
      </c>
      <c r="E377" s="2">
        <v>0</v>
      </c>
      <c r="F377" s="2">
        <v>2</v>
      </c>
      <c r="G377" s="2">
        <v>2</v>
      </c>
      <c r="H377" s="4" t="str">
        <f>IF(Table13[[#This Row],[cnt]]&gt;100,"High","Low")</f>
        <v>Low</v>
      </c>
    </row>
    <row r="378" spans="1:8" ht="14.25" x14ac:dyDescent="0.2">
      <c r="A378" s="2">
        <v>377</v>
      </c>
      <c r="B378" s="2">
        <v>0.19700000000000001</v>
      </c>
      <c r="C378" s="2">
        <v>0.43</v>
      </c>
      <c r="D378" s="2">
        <v>0.1343</v>
      </c>
      <c r="E378" s="2">
        <v>1</v>
      </c>
      <c r="F378" s="2">
        <v>2</v>
      </c>
      <c r="G378" s="2">
        <v>3</v>
      </c>
      <c r="H378" s="4" t="str">
        <f>IF(Table13[[#This Row],[cnt]]&gt;100,"High","Low")</f>
        <v>Low</v>
      </c>
    </row>
    <row r="379" spans="1:8" ht="14.25" x14ac:dyDescent="0.2">
      <c r="A379" s="2">
        <v>378</v>
      </c>
      <c r="B379" s="2">
        <v>0.19700000000000001</v>
      </c>
      <c r="C379" s="2">
        <v>0.43</v>
      </c>
      <c r="D379" s="2">
        <v>0.16420000000000001</v>
      </c>
      <c r="E379" s="2">
        <v>0</v>
      </c>
      <c r="F379" s="2">
        <v>1</v>
      </c>
      <c r="G379" s="2">
        <v>1</v>
      </c>
      <c r="H379" s="4" t="str">
        <f>IF(Table13[[#This Row],[cnt]]&gt;100,"High","Low")</f>
        <v>Low</v>
      </c>
    </row>
    <row r="380" spans="1:8" ht="14.25" x14ac:dyDescent="0.2">
      <c r="A380" s="2">
        <v>379</v>
      </c>
      <c r="B380" s="2">
        <v>0.18179999999999999</v>
      </c>
      <c r="C380" s="2">
        <v>0.43</v>
      </c>
      <c r="D380" s="2">
        <v>0.19400000000000001</v>
      </c>
      <c r="E380" s="2">
        <v>0</v>
      </c>
      <c r="F380" s="2">
        <v>5</v>
      </c>
      <c r="G380" s="2">
        <v>5</v>
      </c>
      <c r="H380" s="4" t="str">
        <f>IF(Table13[[#This Row],[cnt]]&gt;100,"High","Low")</f>
        <v>Low</v>
      </c>
    </row>
    <row r="381" spans="1:8" ht="14.25" x14ac:dyDescent="0.2">
      <c r="A381" s="2">
        <v>380</v>
      </c>
      <c r="B381" s="2">
        <v>0.18179999999999999</v>
      </c>
      <c r="C381" s="2">
        <v>0.5</v>
      </c>
      <c r="D381" s="2">
        <v>0.1343</v>
      </c>
      <c r="E381" s="2">
        <v>4</v>
      </c>
      <c r="F381" s="2">
        <v>9</v>
      </c>
      <c r="G381" s="2">
        <v>13</v>
      </c>
      <c r="H381" s="4" t="str">
        <f>IF(Table13[[#This Row],[cnt]]&gt;100,"High","Low")</f>
        <v>Low</v>
      </c>
    </row>
    <row r="382" spans="1:8" ht="14.25" x14ac:dyDescent="0.2">
      <c r="A382" s="2">
        <v>381</v>
      </c>
      <c r="B382" s="2">
        <v>0.1515</v>
      </c>
      <c r="C382" s="2">
        <v>0.47</v>
      </c>
      <c r="D382" s="2">
        <v>0.22389999999999999</v>
      </c>
      <c r="E382" s="2">
        <v>3</v>
      </c>
      <c r="F382" s="2">
        <v>30</v>
      </c>
      <c r="G382" s="2">
        <v>33</v>
      </c>
      <c r="H382" s="4" t="str">
        <f>IF(Table13[[#This Row],[cnt]]&gt;100,"High","Low")</f>
        <v>Low</v>
      </c>
    </row>
    <row r="383" spans="1:8" ht="14.25" x14ac:dyDescent="0.2">
      <c r="A383" s="2">
        <v>382</v>
      </c>
      <c r="B383" s="2">
        <v>0.1515</v>
      </c>
      <c r="C383" s="2">
        <v>0.47</v>
      </c>
      <c r="D383" s="2">
        <v>0.22389999999999999</v>
      </c>
      <c r="E383" s="2">
        <v>8</v>
      </c>
      <c r="F383" s="2">
        <v>39</v>
      </c>
      <c r="G383" s="2">
        <v>47</v>
      </c>
      <c r="H383" s="4" t="str">
        <f>IF(Table13[[#This Row],[cnt]]&gt;100,"High","Low")</f>
        <v>Low</v>
      </c>
    </row>
    <row r="384" spans="1:8" ht="14.25" x14ac:dyDescent="0.2">
      <c r="A384" s="2">
        <v>383</v>
      </c>
      <c r="B384" s="2">
        <v>0.1515</v>
      </c>
      <c r="C384" s="2">
        <v>0.5</v>
      </c>
      <c r="D384" s="2">
        <v>0.25369999999999998</v>
      </c>
      <c r="E384" s="2">
        <v>7</v>
      </c>
      <c r="F384" s="2">
        <v>50</v>
      </c>
      <c r="G384" s="2">
        <v>57</v>
      </c>
      <c r="H384" s="4" t="str">
        <f>IF(Table13[[#This Row],[cnt]]&gt;100,"High","Low")</f>
        <v>Low</v>
      </c>
    </row>
    <row r="385" spans="1:8" ht="14.25" x14ac:dyDescent="0.2">
      <c r="A385" s="2">
        <v>384</v>
      </c>
      <c r="B385" s="2">
        <v>0.1515</v>
      </c>
      <c r="C385" s="2">
        <v>0.55000000000000004</v>
      </c>
      <c r="D385" s="2">
        <v>0.19400000000000001</v>
      </c>
      <c r="E385" s="2">
        <v>9</v>
      </c>
      <c r="F385" s="2">
        <v>55</v>
      </c>
      <c r="G385" s="2">
        <v>64</v>
      </c>
      <c r="H385" s="4" t="str">
        <f>IF(Table13[[#This Row],[cnt]]&gt;100,"High","Low")</f>
        <v>Low</v>
      </c>
    </row>
    <row r="386" spans="1:8" ht="14.25" x14ac:dyDescent="0.2">
      <c r="A386" s="2">
        <v>385</v>
      </c>
      <c r="B386" s="2">
        <v>0.19700000000000001</v>
      </c>
      <c r="C386" s="2">
        <v>0.47</v>
      </c>
      <c r="D386" s="2">
        <v>0.1343</v>
      </c>
      <c r="E386" s="2">
        <v>10</v>
      </c>
      <c r="F386" s="2">
        <v>70</v>
      </c>
      <c r="G386" s="2">
        <v>80</v>
      </c>
      <c r="H386" s="4" t="str">
        <f>IF(Table13[[#This Row],[cnt]]&gt;100,"High","Low")</f>
        <v>Low</v>
      </c>
    </row>
    <row r="387" spans="1:8" ht="14.25" x14ac:dyDescent="0.2">
      <c r="A387" s="2">
        <v>386</v>
      </c>
      <c r="B387" s="2">
        <v>0.19700000000000001</v>
      </c>
      <c r="C387" s="2">
        <v>0.47</v>
      </c>
      <c r="D387" s="2">
        <v>0.1343</v>
      </c>
      <c r="E387" s="2">
        <v>13</v>
      </c>
      <c r="F387" s="2">
        <v>80</v>
      </c>
      <c r="G387" s="2">
        <v>93</v>
      </c>
      <c r="H387" s="4" t="str">
        <f>IF(Table13[[#This Row],[cnt]]&gt;100,"High","Low")</f>
        <v>Low</v>
      </c>
    </row>
    <row r="388" spans="1:8" ht="14.25" x14ac:dyDescent="0.2">
      <c r="A388" s="2">
        <v>387</v>
      </c>
      <c r="B388" s="2">
        <v>0.21210000000000001</v>
      </c>
      <c r="C388" s="2">
        <v>0.43</v>
      </c>
      <c r="D388" s="2">
        <v>0.1045</v>
      </c>
      <c r="E388" s="2">
        <v>12</v>
      </c>
      <c r="F388" s="2">
        <v>74</v>
      </c>
      <c r="G388" s="2">
        <v>86</v>
      </c>
      <c r="H388" s="4" t="str">
        <f>IF(Table13[[#This Row],[cnt]]&gt;100,"High","Low")</f>
        <v>Low</v>
      </c>
    </row>
    <row r="389" spans="1:8" ht="14.25" x14ac:dyDescent="0.2">
      <c r="A389" s="2">
        <v>388</v>
      </c>
      <c r="B389" s="2">
        <v>0.21210000000000001</v>
      </c>
      <c r="C389" s="2">
        <v>0.47</v>
      </c>
      <c r="D389" s="2">
        <v>0.16420000000000001</v>
      </c>
      <c r="E389" s="2">
        <v>21</v>
      </c>
      <c r="F389" s="2">
        <v>72</v>
      </c>
      <c r="G389" s="2">
        <v>93</v>
      </c>
      <c r="H389" s="4" t="str">
        <f>IF(Table13[[#This Row],[cnt]]&gt;100,"High","Low")</f>
        <v>Low</v>
      </c>
    </row>
    <row r="390" spans="1:8" ht="14.25" x14ac:dyDescent="0.2">
      <c r="A390" s="2">
        <v>389</v>
      </c>
      <c r="B390" s="2">
        <v>0.21210000000000001</v>
      </c>
      <c r="C390" s="2">
        <v>0.47</v>
      </c>
      <c r="D390" s="2">
        <v>0.16420000000000001</v>
      </c>
      <c r="E390" s="2">
        <v>6</v>
      </c>
      <c r="F390" s="2">
        <v>76</v>
      </c>
      <c r="G390" s="2">
        <v>82</v>
      </c>
      <c r="H390" s="4" t="str">
        <f>IF(Table13[[#This Row],[cnt]]&gt;100,"High","Low")</f>
        <v>Low</v>
      </c>
    </row>
    <row r="391" spans="1:8" ht="14.25" x14ac:dyDescent="0.2">
      <c r="A391" s="2">
        <v>390</v>
      </c>
      <c r="B391" s="2">
        <v>0.19700000000000001</v>
      </c>
      <c r="C391" s="2">
        <v>0.51</v>
      </c>
      <c r="D391" s="2">
        <v>0.19400000000000001</v>
      </c>
      <c r="E391" s="2">
        <v>4</v>
      </c>
      <c r="F391" s="2">
        <v>67</v>
      </c>
      <c r="G391" s="2">
        <v>71</v>
      </c>
      <c r="H391" s="4" t="str">
        <f>IF(Table13[[#This Row],[cnt]]&gt;100,"High","Low")</f>
        <v>Low</v>
      </c>
    </row>
    <row r="392" spans="1:8" ht="14.25" x14ac:dyDescent="0.2">
      <c r="A392" s="2">
        <v>391</v>
      </c>
      <c r="B392" s="2">
        <v>0.16669999999999999</v>
      </c>
      <c r="C392" s="2">
        <v>0.55000000000000004</v>
      </c>
      <c r="D392" s="2">
        <v>0.25369999999999998</v>
      </c>
      <c r="E392" s="2">
        <v>7</v>
      </c>
      <c r="F392" s="2">
        <v>85</v>
      </c>
      <c r="G392" s="2">
        <v>92</v>
      </c>
      <c r="H392" s="4" t="str">
        <f>IF(Table13[[#This Row],[cnt]]&gt;100,"High","Low")</f>
        <v>Low</v>
      </c>
    </row>
    <row r="393" spans="1:8" ht="14.25" x14ac:dyDescent="0.2">
      <c r="A393" s="2">
        <v>392</v>
      </c>
      <c r="B393" s="2">
        <v>0.18179999999999999</v>
      </c>
      <c r="C393" s="2">
        <v>0.59</v>
      </c>
      <c r="D393" s="2">
        <v>0.19400000000000001</v>
      </c>
      <c r="E393" s="2">
        <v>2</v>
      </c>
      <c r="F393" s="2">
        <v>58</v>
      </c>
      <c r="G393" s="2">
        <v>60</v>
      </c>
      <c r="H393" s="4" t="str">
        <f>IF(Table13[[#This Row],[cnt]]&gt;100,"High","Low")</f>
        <v>Low</v>
      </c>
    </row>
    <row r="394" spans="1:8" ht="14.25" x14ac:dyDescent="0.2">
      <c r="A394" s="2">
        <v>393</v>
      </c>
      <c r="B394" s="2">
        <v>0.1515</v>
      </c>
      <c r="C394" s="2">
        <v>0.8</v>
      </c>
      <c r="D394" s="2">
        <v>0.19400000000000001</v>
      </c>
      <c r="E394" s="2">
        <v>4</v>
      </c>
      <c r="F394" s="2">
        <v>29</v>
      </c>
      <c r="G394" s="2">
        <v>33</v>
      </c>
      <c r="H394" s="4" t="str">
        <f>IF(Table13[[#This Row],[cnt]]&gt;100,"High","Low")</f>
        <v>Low</v>
      </c>
    </row>
    <row r="395" spans="1:8" ht="14.25" x14ac:dyDescent="0.2">
      <c r="A395" s="2">
        <v>394</v>
      </c>
      <c r="B395" s="2">
        <v>0.1515</v>
      </c>
      <c r="C395" s="2">
        <v>0.8</v>
      </c>
      <c r="D395" s="2">
        <v>0.19400000000000001</v>
      </c>
      <c r="E395" s="2">
        <v>3</v>
      </c>
      <c r="F395" s="2">
        <v>24</v>
      </c>
      <c r="G395" s="2">
        <v>27</v>
      </c>
      <c r="H395" s="4" t="str">
        <f>IF(Table13[[#This Row],[cnt]]&gt;100,"High","Low")</f>
        <v>Low</v>
      </c>
    </row>
    <row r="396" spans="1:8" ht="14.25" x14ac:dyDescent="0.2">
      <c r="A396" s="2">
        <v>395</v>
      </c>
      <c r="B396" s="2">
        <v>0.1212</v>
      </c>
      <c r="C396" s="2">
        <v>0.93</v>
      </c>
      <c r="D396" s="2">
        <v>0.25369999999999998</v>
      </c>
      <c r="E396" s="2">
        <v>0</v>
      </c>
      <c r="F396" s="2">
        <v>13</v>
      </c>
      <c r="G396" s="2">
        <v>13</v>
      </c>
      <c r="H396" s="4" t="str">
        <f>IF(Table13[[#This Row],[cnt]]&gt;100,"High","Low")</f>
        <v>Low</v>
      </c>
    </row>
    <row r="397" spans="1:8" ht="14.25" x14ac:dyDescent="0.2">
      <c r="A397" s="2">
        <v>396</v>
      </c>
      <c r="B397" s="2">
        <v>0.13639999999999999</v>
      </c>
      <c r="C397" s="2">
        <v>0.86</v>
      </c>
      <c r="D397" s="2">
        <v>0.28360000000000002</v>
      </c>
      <c r="E397" s="2">
        <v>1</v>
      </c>
      <c r="F397" s="2">
        <v>3</v>
      </c>
      <c r="G397" s="2">
        <v>4</v>
      </c>
      <c r="H397" s="4" t="str">
        <f>IF(Table13[[#This Row],[cnt]]&gt;100,"High","Low")</f>
        <v>Low</v>
      </c>
    </row>
    <row r="398" spans="1:8" ht="14.25" x14ac:dyDescent="0.2">
      <c r="A398" s="2">
        <v>397</v>
      </c>
      <c r="B398" s="2">
        <v>0.18179999999999999</v>
      </c>
      <c r="C398" s="2">
        <v>0.86</v>
      </c>
      <c r="D398" s="2">
        <v>0.32840000000000003</v>
      </c>
      <c r="E398" s="2">
        <v>0</v>
      </c>
      <c r="F398" s="2">
        <v>3</v>
      </c>
      <c r="G398" s="2">
        <v>3</v>
      </c>
      <c r="H398" s="4" t="str">
        <f>IF(Table13[[#This Row],[cnt]]&gt;100,"High","Low")</f>
        <v>Low</v>
      </c>
    </row>
    <row r="399" spans="1:8" ht="14.25" x14ac:dyDescent="0.2">
      <c r="A399" s="2">
        <v>398</v>
      </c>
      <c r="B399" s="2">
        <v>0.19700000000000001</v>
      </c>
      <c r="C399" s="2">
        <v>0.86</v>
      </c>
      <c r="D399" s="2">
        <v>0.22389999999999999</v>
      </c>
      <c r="E399" s="2">
        <v>0</v>
      </c>
      <c r="F399" s="2">
        <v>22</v>
      </c>
      <c r="G399" s="2">
        <v>22</v>
      </c>
      <c r="H399" s="4" t="str">
        <f>IF(Table13[[#This Row],[cnt]]&gt;100,"High","Low")</f>
        <v>Low</v>
      </c>
    </row>
    <row r="400" spans="1:8" ht="14.25" x14ac:dyDescent="0.2">
      <c r="A400" s="2">
        <v>399</v>
      </c>
      <c r="B400" s="2">
        <v>0.2273</v>
      </c>
      <c r="C400" s="2">
        <v>0.8</v>
      </c>
      <c r="D400" s="2">
        <v>0.16420000000000001</v>
      </c>
      <c r="E400" s="2">
        <v>2</v>
      </c>
      <c r="F400" s="2">
        <v>26</v>
      </c>
      <c r="G400" s="2">
        <v>28</v>
      </c>
      <c r="H400" s="4" t="str">
        <f>IF(Table13[[#This Row],[cnt]]&gt;100,"High","Low")</f>
        <v>Low</v>
      </c>
    </row>
    <row r="401" spans="1:8" ht="14.25" x14ac:dyDescent="0.2">
      <c r="A401" s="2">
        <v>400</v>
      </c>
      <c r="B401" s="2">
        <v>0.2273</v>
      </c>
      <c r="C401" s="2">
        <v>0.87</v>
      </c>
      <c r="D401" s="2">
        <v>0.16420000000000001</v>
      </c>
      <c r="E401" s="2">
        <v>3</v>
      </c>
      <c r="F401" s="2">
        <v>32</v>
      </c>
      <c r="G401" s="2">
        <v>35</v>
      </c>
      <c r="H401" s="4" t="str">
        <f>IF(Table13[[#This Row],[cnt]]&gt;100,"High","Low")</f>
        <v>Low</v>
      </c>
    </row>
    <row r="402" spans="1:8" ht="14.25" x14ac:dyDescent="0.2">
      <c r="A402" s="2">
        <v>401</v>
      </c>
      <c r="B402" s="2">
        <v>0.2273</v>
      </c>
      <c r="C402" s="2">
        <v>0.87</v>
      </c>
      <c r="D402" s="2">
        <v>0.19400000000000001</v>
      </c>
      <c r="E402" s="2">
        <v>0</v>
      </c>
      <c r="F402" s="2">
        <v>61</v>
      </c>
      <c r="G402" s="2">
        <v>61</v>
      </c>
      <c r="H402" s="4" t="str">
        <f>IF(Table13[[#This Row],[cnt]]&gt;100,"High","Low")</f>
        <v>Low</v>
      </c>
    </row>
    <row r="403" spans="1:8" ht="14.25" x14ac:dyDescent="0.2">
      <c r="A403" s="2">
        <v>402</v>
      </c>
      <c r="B403" s="2">
        <v>0.2273</v>
      </c>
      <c r="C403" s="2">
        <v>0.82</v>
      </c>
      <c r="D403" s="2">
        <v>0.19400000000000001</v>
      </c>
      <c r="E403" s="2">
        <v>1</v>
      </c>
      <c r="F403" s="2">
        <v>124</v>
      </c>
      <c r="G403" s="2">
        <v>125</v>
      </c>
      <c r="H403" s="4" t="str">
        <f>IF(Table13[[#This Row],[cnt]]&gt;100,"High","Low")</f>
        <v>High</v>
      </c>
    </row>
    <row r="404" spans="1:8" ht="14.25" x14ac:dyDescent="0.2">
      <c r="A404" s="2">
        <v>403</v>
      </c>
      <c r="B404" s="2">
        <v>0.2273</v>
      </c>
      <c r="C404" s="2">
        <v>0.8</v>
      </c>
      <c r="D404" s="2">
        <v>0.16420000000000001</v>
      </c>
      <c r="E404" s="2">
        <v>1</v>
      </c>
      <c r="F404" s="2">
        <v>132</v>
      </c>
      <c r="G404" s="2">
        <v>133</v>
      </c>
      <c r="H404" s="4" t="str">
        <f>IF(Table13[[#This Row],[cnt]]&gt;100,"High","Low")</f>
        <v>High</v>
      </c>
    </row>
    <row r="405" spans="1:8" ht="14.25" x14ac:dyDescent="0.2">
      <c r="A405" s="2">
        <v>404</v>
      </c>
      <c r="B405" s="2">
        <v>0.2273</v>
      </c>
      <c r="C405" s="2">
        <v>0.8</v>
      </c>
      <c r="D405" s="2">
        <v>0.1343</v>
      </c>
      <c r="E405" s="2">
        <v>1</v>
      </c>
      <c r="F405" s="2">
        <v>98</v>
      </c>
      <c r="G405" s="2">
        <v>99</v>
      </c>
      <c r="H405" s="4" t="str">
        <f>IF(Table13[[#This Row],[cnt]]&gt;100,"High","Low")</f>
        <v>Low</v>
      </c>
    </row>
    <row r="406" spans="1:8" ht="14.25" x14ac:dyDescent="0.2">
      <c r="A406" s="2">
        <v>405</v>
      </c>
      <c r="B406" s="2">
        <v>0.2727</v>
      </c>
      <c r="C406" s="2">
        <v>0.87</v>
      </c>
      <c r="D406" s="2">
        <v>0</v>
      </c>
      <c r="E406" s="2">
        <v>0</v>
      </c>
      <c r="F406" s="2">
        <v>83</v>
      </c>
      <c r="G406" s="2">
        <v>83</v>
      </c>
      <c r="H406" s="4" t="str">
        <f>IF(Table13[[#This Row],[cnt]]&gt;100,"High","Low")</f>
        <v>Low</v>
      </c>
    </row>
    <row r="407" spans="1:8" ht="14.25" x14ac:dyDescent="0.2">
      <c r="A407" s="2">
        <v>406</v>
      </c>
      <c r="B407" s="2">
        <v>0.2424</v>
      </c>
      <c r="C407" s="2">
        <v>0.93</v>
      </c>
      <c r="D407" s="2">
        <v>0.1045</v>
      </c>
      <c r="E407" s="2">
        <v>0</v>
      </c>
      <c r="F407" s="2">
        <v>41</v>
      </c>
      <c r="G407" s="2">
        <v>41</v>
      </c>
      <c r="H407" s="4" t="str">
        <f>IF(Table13[[#This Row],[cnt]]&gt;100,"High","Low")</f>
        <v>Low</v>
      </c>
    </row>
    <row r="408" spans="1:8" ht="14.25" x14ac:dyDescent="0.2">
      <c r="A408" s="2">
        <v>407</v>
      </c>
      <c r="B408" s="2">
        <v>0.2576</v>
      </c>
      <c r="C408" s="2">
        <v>0.93</v>
      </c>
      <c r="D408" s="2">
        <v>8.9599999999999999E-2</v>
      </c>
      <c r="E408" s="2">
        <v>0</v>
      </c>
      <c r="F408" s="2">
        <v>33</v>
      </c>
      <c r="G408" s="2">
        <v>33</v>
      </c>
      <c r="H408" s="4" t="str">
        <f>IF(Table13[[#This Row],[cnt]]&gt;100,"High","Low")</f>
        <v>Low</v>
      </c>
    </row>
    <row r="409" spans="1:8" ht="14.25" x14ac:dyDescent="0.2">
      <c r="A409" s="2">
        <v>408</v>
      </c>
      <c r="B409" s="2">
        <v>0.2727</v>
      </c>
      <c r="C409" s="2">
        <v>0.93</v>
      </c>
      <c r="D409" s="2">
        <v>0</v>
      </c>
      <c r="E409" s="2">
        <v>1</v>
      </c>
      <c r="F409" s="2">
        <v>19</v>
      </c>
      <c r="G409" s="2">
        <v>20</v>
      </c>
      <c r="H409" s="4" t="str">
        <f>IF(Table13[[#This Row],[cnt]]&gt;100,"High","Low")</f>
        <v>Low</v>
      </c>
    </row>
    <row r="410" spans="1:8" ht="14.25" x14ac:dyDescent="0.2">
      <c r="A410" s="2">
        <v>409</v>
      </c>
      <c r="B410" s="2">
        <v>0.2727</v>
      </c>
      <c r="C410" s="2">
        <v>0.93</v>
      </c>
      <c r="D410" s="2">
        <v>0</v>
      </c>
      <c r="E410" s="2">
        <v>0</v>
      </c>
      <c r="F410" s="2">
        <v>3</v>
      </c>
      <c r="G410" s="2">
        <v>3</v>
      </c>
      <c r="H410" s="4" t="str">
        <f>IF(Table13[[#This Row],[cnt]]&gt;100,"High","Low")</f>
        <v>Low</v>
      </c>
    </row>
    <row r="411" spans="1:8" ht="14.25" x14ac:dyDescent="0.2">
      <c r="A411" s="2">
        <v>410</v>
      </c>
      <c r="B411" s="2">
        <v>0.2273</v>
      </c>
      <c r="C411" s="2">
        <v>0.93</v>
      </c>
      <c r="D411" s="2">
        <v>0.1343</v>
      </c>
      <c r="E411" s="2">
        <v>1</v>
      </c>
      <c r="F411" s="2">
        <v>6</v>
      </c>
      <c r="G411" s="2">
        <v>7</v>
      </c>
      <c r="H411" s="4" t="str">
        <f>IF(Table13[[#This Row],[cnt]]&gt;100,"High","Low")</f>
        <v>Low</v>
      </c>
    </row>
    <row r="412" spans="1:8" ht="14.25" x14ac:dyDescent="0.2">
      <c r="A412" s="2">
        <v>411</v>
      </c>
      <c r="B412" s="2">
        <v>0.2273</v>
      </c>
      <c r="C412" s="2">
        <v>0.93</v>
      </c>
      <c r="D412" s="2">
        <v>0.1343</v>
      </c>
      <c r="E412" s="2">
        <v>0</v>
      </c>
      <c r="F412" s="2">
        <v>3</v>
      </c>
      <c r="G412" s="2">
        <v>3</v>
      </c>
      <c r="H412" s="4" t="str">
        <f>IF(Table13[[#This Row],[cnt]]&gt;100,"High","Low")</f>
        <v>Low</v>
      </c>
    </row>
    <row r="413" spans="1:8" ht="14.25" x14ac:dyDescent="0.2">
      <c r="A413" s="2">
        <v>412</v>
      </c>
      <c r="B413" s="2">
        <v>0.2273</v>
      </c>
      <c r="C413" s="2">
        <v>0.93</v>
      </c>
      <c r="D413" s="2">
        <v>0.1343</v>
      </c>
      <c r="E413" s="2">
        <v>1</v>
      </c>
      <c r="F413" s="2">
        <v>1</v>
      </c>
      <c r="G413" s="2">
        <v>2</v>
      </c>
      <c r="H413" s="4" t="str">
        <f>IF(Table13[[#This Row],[cnt]]&gt;100,"High","Low")</f>
        <v>Low</v>
      </c>
    </row>
    <row r="414" spans="1:8" ht="14.25" x14ac:dyDescent="0.2">
      <c r="A414" s="2">
        <v>413</v>
      </c>
      <c r="B414" s="2">
        <v>0.2576</v>
      </c>
      <c r="C414" s="2">
        <v>0.93</v>
      </c>
      <c r="D414" s="2">
        <v>8.9599999999999999E-2</v>
      </c>
      <c r="E414" s="2">
        <v>0</v>
      </c>
      <c r="F414" s="2">
        <v>7</v>
      </c>
      <c r="G414" s="2">
        <v>7</v>
      </c>
      <c r="H414" s="4" t="str">
        <f>IF(Table13[[#This Row],[cnt]]&gt;100,"High","Low")</f>
        <v>Low</v>
      </c>
    </row>
    <row r="415" spans="1:8" ht="14.25" x14ac:dyDescent="0.2">
      <c r="A415" s="2">
        <v>414</v>
      </c>
      <c r="B415" s="2">
        <v>0.2576</v>
      </c>
      <c r="C415" s="2">
        <v>0.93</v>
      </c>
      <c r="D415" s="2">
        <v>8.9599999999999999E-2</v>
      </c>
      <c r="E415" s="2">
        <v>0</v>
      </c>
      <c r="F415" s="2">
        <v>32</v>
      </c>
      <c r="G415" s="2">
        <v>32</v>
      </c>
      <c r="H415" s="4" t="str">
        <f>IF(Table13[[#This Row],[cnt]]&gt;100,"High","Low")</f>
        <v>Low</v>
      </c>
    </row>
    <row r="416" spans="1:8" ht="14.25" x14ac:dyDescent="0.2">
      <c r="A416" s="2">
        <v>415</v>
      </c>
      <c r="B416" s="2">
        <v>0.2576</v>
      </c>
      <c r="C416" s="2">
        <v>0.92</v>
      </c>
      <c r="D416" s="2">
        <v>0.1045</v>
      </c>
      <c r="E416" s="2">
        <v>1</v>
      </c>
      <c r="F416" s="2">
        <v>89</v>
      </c>
      <c r="G416" s="2">
        <v>90</v>
      </c>
      <c r="H416" s="4" t="str">
        <f>IF(Table13[[#This Row],[cnt]]&gt;100,"High","Low")</f>
        <v>Low</v>
      </c>
    </row>
    <row r="417" spans="1:8" ht="14.25" x14ac:dyDescent="0.2">
      <c r="A417" s="2">
        <v>416</v>
      </c>
      <c r="B417" s="2">
        <v>0.2576</v>
      </c>
      <c r="C417" s="2">
        <v>0.93</v>
      </c>
      <c r="D417" s="2">
        <v>0.1045</v>
      </c>
      <c r="E417" s="2">
        <v>1</v>
      </c>
      <c r="F417" s="2">
        <v>196</v>
      </c>
      <c r="G417" s="2">
        <v>197</v>
      </c>
      <c r="H417" s="4" t="str">
        <f>IF(Table13[[#This Row],[cnt]]&gt;100,"High","Low")</f>
        <v>High</v>
      </c>
    </row>
    <row r="418" spans="1:8" ht="14.25" x14ac:dyDescent="0.2">
      <c r="A418" s="2">
        <v>417</v>
      </c>
      <c r="B418" s="2">
        <v>0.2576</v>
      </c>
      <c r="C418" s="2">
        <v>0.93</v>
      </c>
      <c r="D418" s="2">
        <v>0.1045</v>
      </c>
      <c r="E418" s="2">
        <v>2</v>
      </c>
      <c r="F418" s="2">
        <v>107</v>
      </c>
      <c r="G418" s="2">
        <v>109</v>
      </c>
      <c r="H418" s="4" t="str">
        <f>IF(Table13[[#This Row],[cnt]]&gt;100,"High","Low")</f>
        <v>High</v>
      </c>
    </row>
    <row r="419" spans="1:8" ht="14.25" x14ac:dyDescent="0.2">
      <c r="A419" s="2">
        <v>418</v>
      </c>
      <c r="B419" s="2">
        <v>0.2727</v>
      </c>
      <c r="C419" s="2">
        <v>0.93</v>
      </c>
      <c r="D419" s="2">
        <v>0.1343</v>
      </c>
      <c r="E419" s="2">
        <v>1</v>
      </c>
      <c r="F419" s="2">
        <v>46</v>
      </c>
      <c r="G419" s="2">
        <v>47</v>
      </c>
      <c r="H419" s="4" t="str">
        <f>IF(Table13[[#This Row],[cnt]]&gt;100,"High","Low")</f>
        <v>Low</v>
      </c>
    </row>
    <row r="420" spans="1:8" ht="14.25" x14ac:dyDescent="0.2">
      <c r="A420" s="2">
        <v>419</v>
      </c>
      <c r="B420" s="2">
        <v>0.30299999999999999</v>
      </c>
      <c r="C420" s="2">
        <v>0.87</v>
      </c>
      <c r="D420" s="2">
        <v>8.9599999999999999E-2</v>
      </c>
      <c r="E420" s="2">
        <v>5</v>
      </c>
      <c r="F420" s="2">
        <v>47</v>
      </c>
      <c r="G420" s="2">
        <v>52</v>
      </c>
      <c r="H420" s="4" t="str">
        <f>IF(Table13[[#This Row],[cnt]]&gt;100,"High","Low")</f>
        <v>Low</v>
      </c>
    </row>
    <row r="421" spans="1:8" ht="14.25" x14ac:dyDescent="0.2">
      <c r="A421" s="2">
        <v>420</v>
      </c>
      <c r="B421" s="2">
        <v>0.31819999999999998</v>
      </c>
      <c r="C421" s="2">
        <v>0.81</v>
      </c>
      <c r="D421" s="2">
        <v>8.9599999999999999E-2</v>
      </c>
      <c r="E421" s="2">
        <v>5</v>
      </c>
      <c r="F421" s="2">
        <v>65</v>
      </c>
      <c r="G421" s="2">
        <v>70</v>
      </c>
      <c r="H421" s="4" t="str">
        <f>IF(Table13[[#This Row],[cnt]]&gt;100,"High","Low")</f>
        <v>Low</v>
      </c>
    </row>
    <row r="422" spans="1:8" ht="14.25" x14ac:dyDescent="0.2">
      <c r="A422" s="2">
        <v>421</v>
      </c>
      <c r="B422" s="2">
        <v>0.40910000000000002</v>
      </c>
      <c r="C422" s="2">
        <v>0.62</v>
      </c>
      <c r="D422" s="2">
        <v>0.28360000000000002</v>
      </c>
      <c r="E422" s="2">
        <v>11</v>
      </c>
      <c r="F422" s="2">
        <v>67</v>
      </c>
      <c r="G422" s="2">
        <v>78</v>
      </c>
      <c r="H422" s="4" t="str">
        <f>IF(Table13[[#This Row],[cnt]]&gt;100,"High","Low")</f>
        <v>Low</v>
      </c>
    </row>
    <row r="423" spans="1:8" ht="14.25" x14ac:dyDescent="0.2">
      <c r="A423" s="2">
        <v>422</v>
      </c>
      <c r="B423" s="2">
        <v>0.40910000000000002</v>
      </c>
      <c r="C423" s="2">
        <v>0.57999999999999996</v>
      </c>
      <c r="D423" s="2">
        <v>0.25369999999999998</v>
      </c>
      <c r="E423" s="2">
        <v>7</v>
      </c>
      <c r="F423" s="2">
        <v>68</v>
      </c>
      <c r="G423" s="2">
        <v>75</v>
      </c>
      <c r="H423" s="4" t="str">
        <f>IF(Table13[[#This Row],[cnt]]&gt;100,"High","Low")</f>
        <v>Low</v>
      </c>
    </row>
    <row r="424" spans="1:8" ht="14.25" x14ac:dyDescent="0.2">
      <c r="A424" s="2">
        <v>423</v>
      </c>
      <c r="B424" s="2">
        <v>0.40910000000000002</v>
      </c>
      <c r="C424" s="2">
        <v>0.54</v>
      </c>
      <c r="D424" s="2">
        <v>0.28360000000000002</v>
      </c>
      <c r="E424" s="2">
        <v>4</v>
      </c>
      <c r="F424" s="2">
        <v>78</v>
      </c>
      <c r="G424" s="2">
        <v>82</v>
      </c>
      <c r="H424" s="4" t="str">
        <f>IF(Table13[[#This Row],[cnt]]&gt;100,"High","Low")</f>
        <v>Low</v>
      </c>
    </row>
    <row r="425" spans="1:8" ht="14.25" x14ac:dyDescent="0.2">
      <c r="A425" s="2">
        <v>424</v>
      </c>
      <c r="B425" s="2">
        <v>0.39389999999999997</v>
      </c>
      <c r="C425" s="2">
        <v>0.57999999999999996</v>
      </c>
      <c r="D425" s="2">
        <v>0.3881</v>
      </c>
      <c r="E425" s="2">
        <v>10</v>
      </c>
      <c r="F425" s="2">
        <v>94</v>
      </c>
      <c r="G425" s="2">
        <v>104</v>
      </c>
      <c r="H425" s="4" t="str">
        <f>IF(Table13[[#This Row],[cnt]]&gt;100,"High","Low")</f>
        <v>High</v>
      </c>
    </row>
    <row r="426" spans="1:8" ht="14.25" x14ac:dyDescent="0.2">
      <c r="A426" s="2">
        <v>425</v>
      </c>
      <c r="B426" s="2">
        <v>0.33329999999999999</v>
      </c>
      <c r="C426" s="2">
        <v>0.56999999999999995</v>
      </c>
      <c r="D426" s="2">
        <v>0.32840000000000003</v>
      </c>
      <c r="E426" s="2">
        <v>7</v>
      </c>
      <c r="F426" s="2">
        <v>190</v>
      </c>
      <c r="G426" s="2">
        <v>197</v>
      </c>
      <c r="H426" s="4" t="str">
        <f>IF(Table13[[#This Row],[cnt]]&gt;100,"High","Low")</f>
        <v>High</v>
      </c>
    </row>
    <row r="427" spans="1:8" ht="14.25" x14ac:dyDescent="0.2">
      <c r="A427" s="2">
        <v>426</v>
      </c>
      <c r="B427" s="2">
        <v>0.31819999999999998</v>
      </c>
      <c r="C427" s="2">
        <v>0.61</v>
      </c>
      <c r="D427" s="2">
        <v>0.28360000000000002</v>
      </c>
      <c r="E427" s="2">
        <v>5</v>
      </c>
      <c r="F427" s="2">
        <v>156</v>
      </c>
      <c r="G427" s="2">
        <v>161</v>
      </c>
      <c r="H427" s="4" t="str">
        <f>IF(Table13[[#This Row],[cnt]]&gt;100,"High","Low")</f>
        <v>High</v>
      </c>
    </row>
    <row r="428" spans="1:8" ht="14.25" x14ac:dyDescent="0.2">
      <c r="A428" s="2">
        <v>427</v>
      </c>
      <c r="B428" s="2">
        <v>0.28789999999999999</v>
      </c>
      <c r="C428" s="2">
        <v>0.56999999999999995</v>
      </c>
      <c r="D428" s="2">
        <v>0.41789999999999999</v>
      </c>
      <c r="E428" s="2">
        <v>4</v>
      </c>
      <c r="F428" s="2">
        <v>108</v>
      </c>
      <c r="G428" s="2">
        <v>112</v>
      </c>
      <c r="H428" s="4" t="str">
        <f>IF(Table13[[#This Row],[cnt]]&gt;100,"High","Low")</f>
        <v>High</v>
      </c>
    </row>
    <row r="429" spans="1:8" ht="14.25" x14ac:dyDescent="0.2">
      <c r="A429" s="2">
        <v>428</v>
      </c>
      <c r="B429" s="2">
        <v>0.30299999999999999</v>
      </c>
      <c r="C429" s="2">
        <v>0.49</v>
      </c>
      <c r="D429" s="2">
        <v>0.29849999999999999</v>
      </c>
      <c r="E429" s="2">
        <v>2</v>
      </c>
      <c r="F429" s="2">
        <v>74</v>
      </c>
      <c r="G429" s="2">
        <v>76</v>
      </c>
      <c r="H429" s="4" t="str">
        <f>IF(Table13[[#This Row],[cnt]]&gt;100,"High","Low")</f>
        <v>Low</v>
      </c>
    </row>
    <row r="430" spans="1:8" ht="14.25" x14ac:dyDescent="0.2">
      <c r="A430" s="2">
        <v>429</v>
      </c>
      <c r="B430" s="2">
        <v>0.28789999999999999</v>
      </c>
      <c r="C430" s="2">
        <v>0.49</v>
      </c>
      <c r="D430" s="2">
        <v>0.41789999999999999</v>
      </c>
      <c r="E430" s="2">
        <v>4</v>
      </c>
      <c r="F430" s="2">
        <v>55</v>
      </c>
      <c r="G430" s="2">
        <v>59</v>
      </c>
      <c r="H430" s="4" t="str">
        <f>IF(Table13[[#This Row],[cnt]]&gt;100,"High","Low")</f>
        <v>Low</v>
      </c>
    </row>
    <row r="431" spans="1:8" ht="14.25" x14ac:dyDescent="0.2">
      <c r="A431" s="2">
        <v>430</v>
      </c>
      <c r="B431" s="2">
        <v>0.30299999999999999</v>
      </c>
      <c r="C431" s="2">
        <v>0.52</v>
      </c>
      <c r="D431" s="2">
        <v>0.16420000000000001</v>
      </c>
      <c r="E431" s="2">
        <v>6</v>
      </c>
      <c r="F431" s="2">
        <v>53</v>
      </c>
      <c r="G431" s="2">
        <v>59</v>
      </c>
      <c r="H431" s="4" t="str">
        <f>IF(Table13[[#This Row],[cnt]]&gt;100,"High","Low")</f>
        <v>Low</v>
      </c>
    </row>
    <row r="432" spans="1:8" ht="14.25" x14ac:dyDescent="0.2">
      <c r="A432" s="2">
        <v>431</v>
      </c>
      <c r="B432" s="2">
        <v>0.2727</v>
      </c>
      <c r="C432" s="2">
        <v>0.52</v>
      </c>
      <c r="D432" s="2">
        <v>0.4627</v>
      </c>
      <c r="E432" s="2">
        <v>1</v>
      </c>
      <c r="F432" s="2">
        <v>27</v>
      </c>
      <c r="G432" s="2">
        <v>28</v>
      </c>
      <c r="H432" s="4" t="str">
        <f>IF(Table13[[#This Row],[cnt]]&gt;100,"High","Low")</f>
        <v>Low</v>
      </c>
    </row>
    <row r="433" spans="1:8" ht="14.25" x14ac:dyDescent="0.2">
      <c r="A433" s="2">
        <v>432</v>
      </c>
      <c r="B433" s="2">
        <v>0.2273</v>
      </c>
      <c r="C433" s="2">
        <v>0.56000000000000005</v>
      </c>
      <c r="D433" s="2">
        <v>0.3881</v>
      </c>
      <c r="E433" s="2">
        <v>5</v>
      </c>
      <c r="F433" s="2">
        <v>8</v>
      </c>
      <c r="G433" s="2">
        <v>13</v>
      </c>
      <c r="H433" s="4" t="str">
        <f>IF(Table13[[#This Row],[cnt]]&gt;100,"High","Low")</f>
        <v>Low</v>
      </c>
    </row>
    <row r="434" spans="1:8" ht="14.25" x14ac:dyDescent="0.2">
      <c r="A434" s="2">
        <v>433</v>
      </c>
      <c r="B434" s="2">
        <v>0.2727</v>
      </c>
      <c r="C434" s="2">
        <v>0.56000000000000005</v>
      </c>
      <c r="D434" s="2">
        <v>0</v>
      </c>
      <c r="E434" s="2">
        <v>2</v>
      </c>
      <c r="F434" s="2">
        <v>3</v>
      </c>
      <c r="G434" s="2">
        <v>5</v>
      </c>
      <c r="H434" s="4" t="str">
        <f>IF(Table13[[#This Row],[cnt]]&gt;100,"High","Low")</f>
        <v>Low</v>
      </c>
    </row>
    <row r="435" spans="1:8" ht="14.25" x14ac:dyDescent="0.2">
      <c r="A435" s="2">
        <v>434</v>
      </c>
      <c r="B435" s="2">
        <v>0.2727</v>
      </c>
      <c r="C435" s="2">
        <v>0.56000000000000005</v>
      </c>
      <c r="D435" s="2">
        <v>0</v>
      </c>
      <c r="E435" s="2">
        <v>0</v>
      </c>
      <c r="F435" s="2">
        <v>2</v>
      </c>
      <c r="G435" s="2">
        <v>2</v>
      </c>
      <c r="H435" s="4" t="str">
        <f>IF(Table13[[#This Row],[cnt]]&gt;100,"High","Low")</f>
        <v>Low</v>
      </c>
    </row>
    <row r="436" spans="1:8" ht="14.25" x14ac:dyDescent="0.2">
      <c r="A436" s="2">
        <v>435</v>
      </c>
      <c r="B436" s="2">
        <v>0.2576</v>
      </c>
      <c r="C436" s="2">
        <v>0.56000000000000005</v>
      </c>
      <c r="D436" s="2">
        <v>0.16420000000000001</v>
      </c>
      <c r="E436" s="2">
        <v>0</v>
      </c>
      <c r="F436" s="2">
        <v>1</v>
      </c>
      <c r="G436" s="2">
        <v>1</v>
      </c>
      <c r="H436" s="4" t="str">
        <f>IF(Table13[[#This Row],[cnt]]&gt;100,"High","Low")</f>
        <v>Low</v>
      </c>
    </row>
    <row r="437" spans="1:8" ht="14.25" x14ac:dyDescent="0.2">
      <c r="A437" s="2">
        <v>436</v>
      </c>
      <c r="B437" s="2">
        <v>0.2576</v>
      </c>
      <c r="C437" s="2">
        <v>0.56000000000000005</v>
      </c>
      <c r="D437" s="2">
        <v>0.16420000000000001</v>
      </c>
      <c r="E437" s="2">
        <v>0</v>
      </c>
      <c r="F437" s="2">
        <v>1</v>
      </c>
      <c r="G437" s="2">
        <v>1</v>
      </c>
      <c r="H437" s="4" t="str">
        <f>IF(Table13[[#This Row],[cnt]]&gt;100,"High","Low")</f>
        <v>Low</v>
      </c>
    </row>
    <row r="438" spans="1:8" ht="14.25" x14ac:dyDescent="0.2">
      <c r="A438" s="2">
        <v>437</v>
      </c>
      <c r="B438" s="2">
        <v>0.2273</v>
      </c>
      <c r="C438" s="2">
        <v>0.6</v>
      </c>
      <c r="D438" s="2">
        <v>0.22389999999999999</v>
      </c>
      <c r="E438" s="2">
        <v>0</v>
      </c>
      <c r="F438" s="2">
        <v>6</v>
      </c>
      <c r="G438" s="2">
        <v>6</v>
      </c>
      <c r="H438" s="4" t="str">
        <f>IF(Table13[[#This Row],[cnt]]&gt;100,"High","Low")</f>
        <v>Low</v>
      </c>
    </row>
    <row r="439" spans="1:8" ht="14.25" x14ac:dyDescent="0.2">
      <c r="A439" s="2">
        <v>438</v>
      </c>
      <c r="B439" s="2">
        <v>0.21210000000000001</v>
      </c>
      <c r="C439" s="2">
        <v>0.6</v>
      </c>
      <c r="D439" s="2">
        <v>0.22389999999999999</v>
      </c>
      <c r="E439" s="2">
        <v>0</v>
      </c>
      <c r="F439" s="2">
        <v>35</v>
      </c>
      <c r="G439" s="2">
        <v>35</v>
      </c>
      <c r="H439" s="4" t="str">
        <f>IF(Table13[[#This Row],[cnt]]&gt;100,"High","Low")</f>
        <v>Low</v>
      </c>
    </row>
    <row r="440" spans="1:8" ht="14.25" x14ac:dyDescent="0.2">
      <c r="A440" s="2">
        <v>439</v>
      </c>
      <c r="B440" s="2">
        <v>0.21210000000000001</v>
      </c>
      <c r="C440" s="2">
        <v>0.55000000000000004</v>
      </c>
      <c r="D440" s="2">
        <v>0.22389999999999999</v>
      </c>
      <c r="E440" s="2">
        <v>1</v>
      </c>
      <c r="F440" s="2">
        <v>100</v>
      </c>
      <c r="G440" s="2">
        <v>101</v>
      </c>
      <c r="H440" s="4" t="str">
        <f>IF(Table13[[#This Row],[cnt]]&gt;100,"High","Low")</f>
        <v>High</v>
      </c>
    </row>
    <row r="441" spans="1:8" ht="14.25" x14ac:dyDescent="0.2">
      <c r="A441" s="2">
        <v>440</v>
      </c>
      <c r="B441" s="2">
        <v>0.21210000000000001</v>
      </c>
      <c r="C441" s="2">
        <v>0.55000000000000004</v>
      </c>
      <c r="D441" s="2">
        <v>0.28360000000000002</v>
      </c>
      <c r="E441" s="2">
        <v>2</v>
      </c>
      <c r="F441" s="2">
        <v>247</v>
      </c>
      <c r="G441" s="2">
        <v>249</v>
      </c>
      <c r="H441" s="4" t="str">
        <f>IF(Table13[[#This Row],[cnt]]&gt;100,"High","Low")</f>
        <v>High</v>
      </c>
    </row>
    <row r="442" spans="1:8" ht="14.25" x14ac:dyDescent="0.2">
      <c r="A442" s="2">
        <v>441</v>
      </c>
      <c r="B442" s="2">
        <v>0.2273</v>
      </c>
      <c r="C442" s="2">
        <v>0.52</v>
      </c>
      <c r="D442" s="2">
        <v>0.22389999999999999</v>
      </c>
      <c r="E442" s="2">
        <v>3</v>
      </c>
      <c r="F442" s="2">
        <v>140</v>
      </c>
      <c r="G442" s="2">
        <v>143</v>
      </c>
      <c r="H442" s="4" t="str">
        <f>IF(Table13[[#This Row],[cnt]]&gt;100,"High","Low")</f>
        <v>High</v>
      </c>
    </row>
    <row r="443" spans="1:8" ht="14.25" x14ac:dyDescent="0.2">
      <c r="A443" s="2">
        <v>442</v>
      </c>
      <c r="B443" s="2">
        <v>0.2273</v>
      </c>
      <c r="C443" s="2">
        <v>0.48</v>
      </c>
      <c r="D443" s="2">
        <v>0.29849999999999999</v>
      </c>
      <c r="E443" s="2">
        <v>1</v>
      </c>
      <c r="F443" s="2">
        <v>56</v>
      </c>
      <c r="G443" s="2">
        <v>57</v>
      </c>
      <c r="H443" s="4" t="str">
        <f>IF(Table13[[#This Row],[cnt]]&gt;100,"High","Low")</f>
        <v>Low</v>
      </c>
    </row>
    <row r="444" spans="1:8" ht="14.25" x14ac:dyDescent="0.2">
      <c r="A444" s="2">
        <v>443</v>
      </c>
      <c r="B444" s="2">
        <v>0.2727</v>
      </c>
      <c r="C444" s="2">
        <v>0.45</v>
      </c>
      <c r="D444" s="2">
        <v>0.16420000000000001</v>
      </c>
      <c r="E444" s="2">
        <v>5</v>
      </c>
      <c r="F444" s="2">
        <v>63</v>
      </c>
      <c r="G444" s="2">
        <v>68</v>
      </c>
      <c r="H444" s="4" t="str">
        <f>IF(Table13[[#This Row],[cnt]]&gt;100,"High","Low")</f>
        <v>Low</v>
      </c>
    </row>
    <row r="445" spans="1:8" ht="14.25" x14ac:dyDescent="0.2">
      <c r="A445" s="2">
        <v>444</v>
      </c>
      <c r="B445" s="2">
        <v>0.33329999999999999</v>
      </c>
      <c r="C445" s="2">
        <v>0.42</v>
      </c>
      <c r="D445" s="2">
        <v>0</v>
      </c>
      <c r="E445" s="2">
        <v>7</v>
      </c>
      <c r="F445" s="2">
        <v>77</v>
      </c>
      <c r="G445" s="2">
        <v>84</v>
      </c>
      <c r="H445" s="4" t="str">
        <f>IF(Table13[[#This Row],[cnt]]&gt;100,"High","Low")</f>
        <v>Low</v>
      </c>
    </row>
    <row r="446" spans="1:8" ht="14.25" x14ac:dyDescent="0.2">
      <c r="A446" s="2">
        <v>445</v>
      </c>
      <c r="B446" s="2">
        <v>0.28789999999999999</v>
      </c>
      <c r="C446" s="2">
        <v>0.45</v>
      </c>
      <c r="D446" s="2">
        <v>0.1045</v>
      </c>
      <c r="E446" s="2">
        <v>12</v>
      </c>
      <c r="F446" s="2">
        <v>86</v>
      </c>
      <c r="G446" s="2">
        <v>98</v>
      </c>
      <c r="H446" s="4" t="str">
        <f>IF(Table13[[#This Row],[cnt]]&gt;100,"High","Low")</f>
        <v>Low</v>
      </c>
    </row>
    <row r="447" spans="1:8" ht="14.25" x14ac:dyDescent="0.2">
      <c r="A447" s="2">
        <v>446</v>
      </c>
      <c r="B447" s="2">
        <v>0.30299999999999999</v>
      </c>
      <c r="C447" s="2">
        <v>0.45</v>
      </c>
      <c r="D447" s="2">
        <v>0.1343</v>
      </c>
      <c r="E447" s="2">
        <v>6</v>
      </c>
      <c r="F447" s="2">
        <v>75</v>
      </c>
      <c r="G447" s="2">
        <v>81</v>
      </c>
      <c r="H447" s="4" t="str">
        <f>IF(Table13[[#This Row],[cnt]]&gt;100,"High","Low")</f>
        <v>Low</v>
      </c>
    </row>
    <row r="448" spans="1:8" ht="14.25" x14ac:dyDescent="0.2">
      <c r="A448" s="2">
        <v>447</v>
      </c>
      <c r="B448" s="2">
        <v>0.31819999999999998</v>
      </c>
      <c r="C448" s="2">
        <v>0.45</v>
      </c>
      <c r="D448" s="2">
        <v>0.19400000000000001</v>
      </c>
      <c r="E448" s="2">
        <v>8</v>
      </c>
      <c r="F448" s="2">
        <v>62</v>
      </c>
      <c r="G448" s="2">
        <v>70</v>
      </c>
      <c r="H448" s="4" t="str">
        <f>IF(Table13[[#This Row],[cnt]]&gt;100,"High","Low")</f>
        <v>Low</v>
      </c>
    </row>
    <row r="449" spans="1:8" ht="14.25" x14ac:dyDescent="0.2">
      <c r="A449" s="2">
        <v>448</v>
      </c>
      <c r="B449" s="2">
        <v>0.30299999999999999</v>
      </c>
      <c r="C449" s="2">
        <v>0.49</v>
      </c>
      <c r="D449" s="2">
        <v>0.1343</v>
      </c>
      <c r="E449" s="2">
        <v>8</v>
      </c>
      <c r="F449" s="2">
        <v>83</v>
      </c>
      <c r="G449" s="2">
        <v>91</v>
      </c>
      <c r="H449" s="4" t="str">
        <f>IF(Table13[[#This Row],[cnt]]&gt;100,"High","Low")</f>
        <v>Low</v>
      </c>
    </row>
    <row r="450" spans="1:8" ht="14.25" x14ac:dyDescent="0.2">
      <c r="A450" s="2">
        <v>449</v>
      </c>
      <c r="B450" s="2">
        <v>0.31819999999999998</v>
      </c>
      <c r="C450" s="2">
        <v>0.49</v>
      </c>
      <c r="D450" s="2">
        <v>0.1045</v>
      </c>
      <c r="E450" s="2">
        <v>8</v>
      </c>
      <c r="F450" s="2">
        <v>207</v>
      </c>
      <c r="G450" s="2">
        <v>215</v>
      </c>
      <c r="H450" s="4" t="str">
        <f>IF(Table13[[#This Row],[cnt]]&gt;100,"High","Low")</f>
        <v>High</v>
      </c>
    </row>
    <row r="451" spans="1:8" ht="14.25" x14ac:dyDescent="0.2">
      <c r="A451" s="2">
        <v>450</v>
      </c>
      <c r="B451" s="2">
        <v>0.2576</v>
      </c>
      <c r="C451" s="2">
        <v>0.56000000000000005</v>
      </c>
      <c r="D451" s="2">
        <v>0.19400000000000001</v>
      </c>
      <c r="E451" s="2">
        <v>1</v>
      </c>
      <c r="F451" s="2">
        <v>184</v>
      </c>
      <c r="G451" s="2">
        <v>185</v>
      </c>
      <c r="H451" s="4" t="str">
        <f>IF(Table13[[#This Row],[cnt]]&gt;100,"High","Low")</f>
        <v>High</v>
      </c>
    </row>
    <row r="452" spans="1:8" ht="14.25" x14ac:dyDescent="0.2">
      <c r="A452" s="2">
        <v>451</v>
      </c>
      <c r="B452" s="2">
        <v>0.2273</v>
      </c>
      <c r="C452" s="2">
        <v>0.56000000000000005</v>
      </c>
      <c r="D452" s="2">
        <v>0.32840000000000003</v>
      </c>
      <c r="E452" s="2">
        <v>6</v>
      </c>
      <c r="F452" s="2">
        <v>146</v>
      </c>
      <c r="G452" s="2">
        <v>152</v>
      </c>
      <c r="H452" s="4" t="str">
        <f>IF(Table13[[#This Row],[cnt]]&gt;100,"High","Low")</f>
        <v>High</v>
      </c>
    </row>
    <row r="453" spans="1:8" ht="14.25" x14ac:dyDescent="0.2">
      <c r="A453" s="2">
        <v>452</v>
      </c>
      <c r="B453" s="2">
        <v>0.2424</v>
      </c>
      <c r="C453" s="2">
        <v>0.6</v>
      </c>
      <c r="D453" s="2">
        <v>0.28360000000000002</v>
      </c>
      <c r="E453" s="2">
        <v>2</v>
      </c>
      <c r="F453" s="2">
        <v>124</v>
      </c>
      <c r="G453" s="2">
        <v>126</v>
      </c>
      <c r="H453" s="4" t="str">
        <f>IF(Table13[[#This Row],[cnt]]&gt;100,"High","Low")</f>
        <v>High</v>
      </c>
    </row>
    <row r="454" spans="1:8" ht="14.25" x14ac:dyDescent="0.2">
      <c r="A454" s="2">
        <v>453</v>
      </c>
      <c r="B454" s="2">
        <v>0.2273</v>
      </c>
      <c r="C454" s="2">
        <v>0.6</v>
      </c>
      <c r="D454" s="2">
        <v>0.25369999999999998</v>
      </c>
      <c r="E454" s="2">
        <v>3</v>
      </c>
      <c r="F454" s="2">
        <v>54</v>
      </c>
      <c r="G454" s="2">
        <v>57</v>
      </c>
      <c r="H454" s="4" t="str">
        <f>IF(Table13[[#This Row],[cnt]]&gt;100,"High","Low")</f>
        <v>Low</v>
      </c>
    </row>
    <row r="455" spans="1:8" ht="14.25" x14ac:dyDescent="0.2">
      <c r="A455" s="2">
        <v>454</v>
      </c>
      <c r="B455" s="2">
        <v>0.21210000000000001</v>
      </c>
      <c r="C455" s="2">
        <v>0.65</v>
      </c>
      <c r="D455" s="2">
        <v>0.28360000000000002</v>
      </c>
      <c r="E455" s="2">
        <v>0</v>
      </c>
      <c r="F455" s="2">
        <v>56</v>
      </c>
      <c r="G455" s="2">
        <v>56</v>
      </c>
      <c r="H455" s="4" t="str">
        <f>IF(Table13[[#This Row],[cnt]]&gt;100,"High","Low")</f>
        <v>Low</v>
      </c>
    </row>
    <row r="456" spans="1:8" ht="14.25" x14ac:dyDescent="0.2">
      <c r="A456" s="2">
        <v>455</v>
      </c>
      <c r="B456" s="2">
        <v>0.21210000000000001</v>
      </c>
      <c r="C456" s="2">
        <v>0.65</v>
      </c>
      <c r="D456" s="2">
        <v>0.32840000000000003</v>
      </c>
      <c r="E456" s="2">
        <v>3</v>
      </c>
      <c r="F456" s="2">
        <v>28</v>
      </c>
      <c r="G456" s="2">
        <v>31</v>
      </c>
      <c r="H456" s="4" t="str">
        <f>IF(Table13[[#This Row],[cnt]]&gt;100,"High","Low")</f>
        <v>Low</v>
      </c>
    </row>
    <row r="457" spans="1:8" ht="14.25" x14ac:dyDescent="0.2">
      <c r="A457" s="2">
        <v>456</v>
      </c>
      <c r="B457" s="2">
        <v>0.2273</v>
      </c>
      <c r="C457" s="2">
        <v>0.7</v>
      </c>
      <c r="D457" s="2">
        <v>0.25369999999999998</v>
      </c>
      <c r="E457" s="2">
        <v>1</v>
      </c>
      <c r="F457" s="2">
        <v>20</v>
      </c>
      <c r="G457" s="2">
        <v>21</v>
      </c>
      <c r="H457" s="4" t="str">
        <f>IF(Table13[[#This Row],[cnt]]&gt;100,"High","Low")</f>
        <v>Low</v>
      </c>
    </row>
    <row r="458" spans="1:8" ht="14.25" x14ac:dyDescent="0.2">
      <c r="A458" s="2">
        <v>457</v>
      </c>
      <c r="B458" s="2">
        <v>0.2273</v>
      </c>
      <c r="C458" s="2">
        <v>0.7</v>
      </c>
      <c r="D458" s="2">
        <v>0.25369999999999998</v>
      </c>
      <c r="E458" s="2">
        <v>0</v>
      </c>
      <c r="F458" s="2">
        <v>6</v>
      </c>
      <c r="G458" s="2">
        <v>6</v>
      </c>
      <c r="H458" s="4" t="str">
        <f>IF(Table13[[#This Row],[cnt]]&gt;100,"High","Low")</f>
        <v>Low</v>
      </c>
    </row>
    <row r="459" spans="1:8" ht="14.25" x14ac:dyDescent="0.2">
      <c r="A459" s="2">
        <v>458</v>
      </c>
      <c r="B459" s="2">
        <v>0.2424</v>
      </c>
      <c r="C459" s="2">
        <v>0.75</v>
      </c>
      <c r="D459" s="2">
        <v>0.16420000000000001</v>
      </c>
      <c r="E459" s="2">
        <v>0</v>
      </c>
      <c r="F459" s="2">
        <v>2</v>
      </c>
      <c r="G459" s="2">
        <v>2</v>
      </c>
      <c r="H459" s="4" t="str">
        <f>IF(Table13[[#This Row],[cnt]]&gt;100,"High","Low")</f>
        <v>Low</v>
      </c>
    </row>
    <row r="460" spans="1:8" ht="14.25" x14ac:dyDescent="0.2">
      <c r="A460" s="2">
        <v>459</v>
      </c>
      <c r="B460" s="2">
        <v>0.21210000000000001</v>
      </c>
      <c r="C460" s="2">
        <v>0.8</v>
      </c>
      <c r="D460" s="2">
        <v>0.29849999999999999</v>
      </c>
      <c r="E460" s="2">
        <v>0</v>
      </c>
      <c r="F460" s="2">
        <v>1</v>
      </c>
      <c r="G460" s="2">
        <v>1</v>
      </c>
      <c r="H460" s="4" t="str">
        <f>IF(Table13[[#This Row],[cnt]]&gt;100,"High","Low")</f>
        <v>Low</v>
      </c>
    </row>
    <row r="461" spans="1:8" ht="14.25" x14ac:dyDescent="0.2">
      <c r="A461" s="2">
        <v>460</v>
      </c>
      <c r="B461" s="2">
        <v>0.2576</v>
      </c>
      <c r="C461" s="2">
        <v>0.87</v>
      </c>
      <c r="D461" s="2">
        <v>8.9599999999999999E-2</v>
      </c>
      <c r="E461" s="2">
        <v>0</v>
      </c>
      <c r="F461" s="2">
        <v>1</v>
      </c>
      <c r="G461" s="2">
        <v>1</v>
      </c>
      <c r="H461" s="4" t="str">
        <f>IF(Table13[[#This Row],[cnt]]&gt;100,"High","Low")</f>
        <v>Low</v>
      </c>
    </row>
    <row r="462" spans="1:8" ht="14.25" x14ac:dyDescent="0.2">
      <c r="A462" s="2">
        <v>461</v>
      </c>
      <c r="B462" s="2">
        <v>0.19700000000000001</v>
      </c>
      <c r="C462" s="2">
        <v>0.6</v>
      </c>
      <c r="D462" s="2">
        <v>0.41789999999999999</v>
      </c>
      <c r="E462" s="2">
        <v>1</v>
      </c>
      <c r="F462" s="2">
        <v>4</v>
      </c>
      <c r="G462" s="2">
        <v>5</v>
      </c>
      <c r="H462" s="4" t="str">
        <f>IF(Table13[[#This Row],[cnt]]&gt;100,"High","Low")</f>
        <v>Low</v>
      </c>
    </row>
    <row r="463" spans="1:8" ht="14.25" x14ac:dyDescent="0.2">
      <c r="A463" s="2">
        <v>462</v>
      </c>
      <c r="B463" s="2">
        <v>0.21210000000000001</v>
      </c>
      <c r="C463" s="2">
        <v>0.55000000000000004</v>
      </c>
      <c r="D463" s="2">
        <v>0.25369999999999998</v>
      </c>
      <c r="E463" s="2">
        <v>0</v>
      </c>
      <c r="F463" s="2">
        <v>27</v>
      </c>
      <c r="G463" s="2">
        <v>27</v>
      </c>
      <c r="H463" s="4" t="str">
        <f>IF(Table13[[#This Row],[cnt]]&gt;100,"High","Low")</f>
        <v>Low</v>
      </c>
    </row>
    <row r="464" spans="1:8" ht="14.25" x14ac:dyDescent="0.2">
      <c r="A464" s="2">
        <v>463</v>
      </c>
      <c r="B464" s="2">
        <v>0.18179999999999999</v>
      </c>
      <c r="C464" s="2">
        <v>0.51</v>
      </c>
      <c r="D464" s="2">
        <v>0.28360000000000002</v>
      </c>
      <c r="E464" s="2">
        <v>2</v>
      </c>
      <c r="F464" s="2">
        <v>66</v>
      </c>
      <c r="G464" s="2">
        <v>68</v>
      </c>
      <c r="H464" s="4" t="str">
        <f>IF(Table13[[#This Row],[cnt]]&gt;100,"High","Low")</f>
        <v>Low</v>
      </c>
    </row>
    <row r="465" spans="1:8" ht="14.25" x14ac:dyDescent="0.2">
      <c r="A465" s="2">
        <v>464</v>
      </c>
      <c r="B465" s="2">
        <v>0.18179999999999999</v>
      </c>
      <c r="C465" s="2">
        <v>0.47</v>
      </c>
      <c r="D465" s="2">
        <v>0.32840000000000003</v>
      </c>
      <c r="E465" s="2">
        <v>7</v>
      </c>
      <c r="F465" s="2">
        <v>210</v>
      </c>
      <c r="G465" s="2">
        <v>217</v>
      </c>
      <c r="H465" s="4" t="str">
        <f>IF(Table13[[#This Row],[cnt]]&gt;100,"High","Low")</f>
        <v>High</v>
      </c>
    </row>
    <row r="466" spans="1:8" ht="14.25" x14ac:dyDescent="0.2">
      <c r="A466" s="2">
        <v>465</v>
      </c>
      <c r="B466" s="2">
        <v>0.18179999999999999</v>
      </c>
      <c r="C466" s="2">
        <v>0.51</v>
      </c>
      <c r="D466" s="2">
        <v>0.35820000000000002</v>
      </c>
      <c r="E466" s="2">
        <v>7</v>
      </c>
      <c r="F466" s="2">
        <v>159</v>
      </c>
      <c r="G466" s="2">
        <v>166</v>
      </c>
      <c r="H466" s="4" t="str">
        <f>IF(Table13[[#This Row],[cnt]]&gt;100,"High","Low")</f>
        <v>High</v>
      </c>
    </row>
    <row r="467" spans="1:8" ht="14.25" x14ac:dyDescent="0.2">
      <c r="A467" s="2">
        <v>466</v>
      </c>
      <c r="B467" s="2">
        <v>0.16669999999999999</v>
      </c>
      <c r="C467" s="2">
        <v>0.47</v>
      </c>
      <c r="D467" s="2">
        <v>0.4627</v>
      </c>
      <c r="E467" s="2">
        <v>6</v>
      </c>
      <c r="F467" s="2">
        <v>57</v>
      </c>
      <c r="G467" s="2">
        <v>63</v>
      </c>
      <c r="H467" s="4" t="str">
        <f>IF(Table13[[#This Row],[cnt]]&gt;100,"High","Low")</f>
        <v>Low</v>
      </c>
    </row>
    <row r="468" spans="1:8" ht="14.25" x14ac:dyDescent="0.2">
      <c r="A468" s="2">
        <v>467</v>
      </c>
      <c r="B468" s="2">
        <v>0.18179999999999999</v>
      </c>
      <c r="C468" s="2">
        <v>0.41</v>
      </c>
      <c r="D468" s="2">
        <v>0.4627</v>
      </c>
      <c r="E468" s="2">
        <v>6</v>
      </c>
      <c r="F468" s="2">
        <v>53</v>
      </c>
      <c r="G468" s="2">
        <v>59</v>
      </c>
      <c r="H468" s="4" t="str">
        <f>IF(Table13[[#This Row],[cnt]]&gt;100,"High","Low")</f>
        <v>Low</v>
      </c>
    </row>
    <row r="469" spans="1:8" ht="14.25" x14ac:dyDescent="0.2">
      <c r="A469" s="2">
        <v>468</v>
      </c>
      <c r="B469" s="2">
        <v>0.18179999999999999</v>
      </c>
      <c r="C469" s="2">
        <v>0.27</v>
      </c>
      <c r="D469" s="2">
        <v>0.58209999999999995</v>
      </c>
      <c r="E469" s="2">
        <v>11</v>
      </c>
      <c r="F469" s="2">
        <v>67</v>
      </c>
      <c r="G469" s="2">
        <v>78</v>
      </c>
      <c r="H469" s="4" t="str">
        <f>IF(Table13[[#This Row],[cnt]]&gt;100,"High","Low")</f>
        <v>Low</v>
      </c>
    </row>
    <row r="470" spans="1:8" ht="14.25" x14ac:dyDescent="0.2">
      <c r="A470" s="2">
        <v>469</v>
      </c>
      <c r="B470" s="2">
        <v>0.1515</v>
      </c>
      <c r="C470" s="2">
        <v>0.21</v>
      </c>
      <c r="D470" s="2">
        <v>0.58209999999999995</v>
      </c>
      <c r="E470" s="2">
        <v>8</v>
      </c>
      <c r="F470" s="2">
        <v>65</v>
      </c>
      <c r="G470" s="2">
        <v>73</v>
      </c>
      <c r="H470" s="4" t="str">
        <f>IF(Table13[[#This Row],[cnt]]&gt;100,"High","Low")</f>
        <v>Low</v>
      </c>
    </row>
    <row r="471" spans="1:8" ht="14.25" x14ac:dyDescent="0.2">
      <c r="A471" s="2">
        <v>470</v>
      </c>
      <c r="B471" s="2">
        <v>0.1515</v>
      </c>
      <c r="C471" s="2">
        <v>0.25</v>
      </c>
      <c r="D471" s="2">
        <v>0.52239999999999998</v>
      </c>
      <c r="E471" s="2">
        <v>6</v>
      </c>
      <c r="F471" s="2">
        <v>56</v>
      </c>
      <c r="G471" s="2">
        <v>62</v>
      </c>
      <c r="H471" s="4" t="str">
        <f>IF(Table13[[#This Row],[cnt]]&gt;100,"High","Low")</f>
        <v>Low</v>
      </c>
    </row>
    <row r="472" spans="1:8" ht="14.25" x14ac:dyDescent="0.2">
      <c r="A472" s="2">
        <v>471</v>
      </c>
      <c r="B472" s="2">
        <v>0.1212</v>
      </c>
      <c r="C472" s="2">
        <v>0.26</v>
      </c>
      <c r="D472" s="2">
        <v>0.44779999999999998</v>
      </c>
      <c r="E472" s="2">
        <v>4</v>
      </c>
      <c r="F472" s="2">
        <v>61</v>
      </c>
      <c r="G472" s="2">
        <v>65</v>
      </c>
      <c r="H472" s="4" t="str">
        <f>IF(Table13[[#This Row],[cnt]]&gt;100,"High","Low")</f>
        <v>Low</v>
      </c>
    </row>
    <row r="473" spans="1:8" ht="14.25" x14ac:dyDescent="0.2">
      <c r="A473" s="2">
        <v>472</v>
      </c>
      <c r="B473" s="2">
        <v>0.13639999999999999</v>
      </c>
      <c r="C473" s="2">
        <v>0.26</v>
      </c>
      <c r="D473" s="2">
        <v>0.35820000000000002</v>
      </c>
      <c r="E473" s="2">
        <v>0</v>
      </c>
      <c r="F473" s="2">
        <v>97</v>
      </c>
      <c r="G473" s="2">
        <v>97</v>
      </c>
      <c r="H473" s="4" t="str">
        <f>IF(Table13[[#This Row],[cnt]]&gt;100,"High","Low")</f>
        <v>Low</v>
      </c>
    </row>
    <row r="474" spans="1:8" ht="14.25" x14ac:dyDescent="0.2">
      <c r="A474" s="2">
        <v>473</v>
      </c>
      <c r="B474" s="2">
        <v>0.1212</v>
      </c>
      <c r="C474" s="2">
        <v>0.28000000000000003</v>
      </c>
      <c r="D474" s="2">
        <v>0.35820000000000002</v>
      </c>
      <c r="E474" s="2">
        <v>10</v>
      </c>
      <c r="F474" s="2">
        <v>151</v>
      </c>
      <c r="G474" s="2">
        <v>161</v>
      </c>
      <c r="H474" s="4" t="str">
        <f>IF(Table13[[#This Row],[cnt]]&gt;100,"High","Low")</f>
        <v>High</v>
      </c>
    </row>
    <row r="475" spans="1:8" ht="14.25" x14ac:dyDescent="0.2">
      <c r="A475" s="2">
        <v>474</v>
      </c>
      <c r="B475" s="2">
        <v>0.1212</v>
      </c>
      <c r="C475" s="2">
        <v>0.3</v>
      </c>
      <c r="D475" s="2">
        <v>0.25369999999999998</v>
      </c>
      <c r="E475" s="2">
        <v>1</v>
      </c>
      <c r="F475" s="2">
        <v>119</v>
      </c>
      <c r="G475" s="2">
        <v>120</v>
      </c>
      <c r="H475" s="4" t="str">
        <f>IF(Table13[[#This Row],[cnt]]&gt;100,"High","Low")</f>
        <v>High</v>
      </c>
    </row>
    <row r="476" spans="1:8" ht="14.25" x14ac:dyDescent="0.2">
      <c r="A476" s="2">
        <v>475</v>
      </c>
      <c r="B476" s="2">
        <v>0.1061</v>
      </c>
      <c r="C476" s="2">
        <v>0.3</v>
      </c>
      <c r="D476" s="2">
        <v>0.32840000000000003</v>
      </c>
      <c r="E476" s="2">
        <v>3</v>
      </c>
      <c r="F476" s="2">
        <v>93</v>
      </c>
      <c r="G476" s="2">
        <v>96</v>
      </c>
      <c r="H476" s="4" t="str">
        <f>IF(Table13[[#This Row],[cnt]]&gt;100,"High","Low")</f>
        <v>Low</v>
      </c>
    </row>
    <row r="477" spans="1:8" ht="14.25" x14ac:dyDescent="0.2">
      <c r="A477" s="2">
        <v>476</v>
      </c>
      <c r="B477" s="2">
        <v>7.5800000000000006E-2</v>
      </c>
      <c r="C477" s="2">
        <v>0.33</v>
      </c>
      <c r="D477" s="2">
        <v>0.41789999999999999</v>
      </c>
      <c r="E477" s="2">
        <v>1</v>
      </c>
      <c r="F477" s="2">
        <v>52</v>
      </c>
      <c r="G477" s="2">
        <v>53</v>
      </c>
      <c r="H477" s="4" t="str">
        <f>IF(Table13[[#This Row],[cnt]]&gt;100,"High","Low")</f>
        <v>Low</v>
      </c>
    </row>
    <row r="478" spans="1:8" ht="14.25" x14ac:dyDescent="0.2">
      <c r="A478" s="2">
        <v>477</v>
      </c>
      <c r="B478" s="2">
        <v>7.5800000000000006E-2</v>
      </c>
      <c r="C478" s="2">
        <v>0.38</v>
      </c>
      <c r="D478" s="2">
        <v>0.28360000000000002</v>
      </c>
      <c r="E478" s="2">
        <v>0</v>
      </c>
      <c r="F478" s="2">
        <v>41</v>
      </c>
      <c r="G478" s="2">
        <v>41</v>
      </c>
      <c r="H478" s="4" t="str">
        <f>IF(Table13[[#This Row],[cnt]]&gt;100,"High","Low")</f>
        <v>Low</v>
      </c>
    </row>
    <row r="479" spans="1:8" ht="14.25" x14ac:dyDescent="0.2">
      <c r="A479" s="2">
        <v>478</v>
      </c>
      <c r="B479" s="2">
        <v>3.0300000000000001E-2</v>
      </c>
      <c r="C479" s="2">
        <v>0.41</v>
      </c>
      <c r="D479" s="2">
        <v>0.3881</v>
      </c>
      <c r="E479" s="2">
        <v>1</v>
      </c>
      <c r="F479" s="2">
        <v>33</v>
      </c>
      <c r="G479" s="2">
        <v>34</v>
      </c>
      <c r="H479" s="4" t="str">
        <f>IF(Table13[[#This Row],[cnt]]&gt;100,"High","Low")</f>
        <v>Low</v>
      </c>
    </row>
    <row r="480" spans="1:8" ht="14.25" x14ac:dyDescent="0.2">
      <c r="A480" s="2">
        <v>479</v>
      </c>
      <c r="B480" s="2">
        <v>4.5499999999999999E-2</v>
      </c>
      <c r="C480" s="2">
        <v>0.38</v>
      </c>
      <c r="D480" s="2">
        <v>0.32840000000000003</v>
      </c>
      <c r="E480" s="2">
        <v>0</v>
      </c>
      <c r="F480" s="2">
        <v>27</v>
      </c>
      <c r="G480" s="2">
        <v>27</v>
      </c>
      <c r="H480" s="4" t="str">
        <f>IF(Table13[[#This Row],[cnt]]&gt;100,"High","Low")</f>
        <v>Low</v>
      </c>
    </row>
    <row r="481" spans="1:8" ht="14.25" x14ac:dyDescent="0.2">
      <c r="A481" s="2">
        <v>480</v>
      </c>
      <c r="B481" s="2">
        <v>3.0300000000000001E-2</v>
      </c>
      <c r="C481" s="2">
        <v>0.45</v>
      </c>
      <c r="D481" s="2">
        <v>0.25369999999999998</v>
      </c>
      <c r="E481" s="2">
        <v>0</v>
      </c>
      <c r="F481" s="2">
        <v>13</v>
      </c>
      <c r="G481" s="2">
        <v>13</v>
      </c>
      <c r="H481" s="4" t="str">
        <f>IF(Table13[[#This Row],[cnt]]&gt;100,"High","Low")</f>
        <v>Low</v>
      </c>
    </row>
    <row r="482" spans="1:8" ht="14.25" x14ac:dyDescent="0.2">
      <c r="A482" s="2">
        <v>481</v>
      </c>
      <c r="B482" s="2">
        <v>0</v>
      </c>
      <c r="C482" s="2">
        <v>0.41</v>
      </c>
      <c r="D482" s="2">
        <v>0.3881</v>
      </c>
      <c r="E482" s="2">
        <v>3</v>
      </c>
      <c r="F482" s="2">
        <v>9</v>
      </c>
      <c r="G482" s="2">
        <v>12</v>
      </c>
      <c r="H482" s="4" t="str">
        <f>IF(Table13[[#This Row],[cnt]]&gt;100,"High","Low")</f>
        <v>Low</v>
      </c>
    </row>
    <row r="483" spans="1:8" ht="14.25" x14ac:dyDescent="0.2">
      <c r="A483" s="2">
        <v>482</v>
      </c>
      <c r="B483" s="2">
        <v>3.0300000000000001E-2</v>
      </c>
      <c r="C483" s="2">
        <v>0.41</v>
      </c>
      <c r="D483" s="2">
        <v>0.25369999999999998</v>
      </c>
      <c r="E483" s="2">
        <v>0</v>
      </c>
      <c r="F483" s="2">
        <v>11</v>
      </c>
      <c r="G483" s="2">
        <v>11</v>
      </c>
      <c r="H483" s="4" t="str">
        <f>IF(Table13[[#This Row],[cnt]]&gt;100,"High","Low")</f>
        <v>Low</v>
      </c>
    </row>
    <row r="484" spans="1:8" ht="14.25" x14ac:dyDescent="0.2">
      <c r="A484" s="2">
        <v>483</v>
      </c>
      <c r="B484" s="2">
        <v>3.0300000000000001E-2</v>
      </c>
      <c r="C484" s="2">
        <v>0.41</v>
      </c>
      <c r="D484" s="2">
        <v>0.28360000000000002</v>
      </c>
      <c r="E484" s="2">
        <v>1</v>
      </c>
      <c r="F484" s="2">
        <v>6</v>
      </c>
      <c r="G484" s="2">
        <v>7</v>
      </c>
      <c r="H484" s="4" t="str">
        <f>IF(Table13[[#This Row],[cnt]]&gt;100,"High","Low")</f>
        <v>Low</v>
      </c>
    </row>
    <row r="485" spans="1:8" ht="14.25" x14ac:dyDescent="0.2">
      <c r="A485" s="2">
        <v>484</v>
      </c>
      <c r="B485" s="2">
        <v>1.52E-2</v>
      </c>
      <c r="C485" s="2">
        <v>0.48</v>
      </c>
      <c r="D485" s="2">
        <v>0.29849999999999999</v>
      </c>
      <c r="E485" s="2">
        <v>0</v>
      </c>
      <c r="F485" s="2">
        <v>3</v>
      </c>
      <c r="G485" s="2">
        <v>3</v>
      </c>
      <c r="H485" s="4" t="str">
        <f>IF(Table13[[#This Row],[cnt]]&gt;100,"High","Low")</f>
        <v>Low</v>
      </c>
    </row>
    <row r="486" spans="1:8" ht="14.25" x14ac:dyDescent="0.2">
      <c r="A486" s="2">
        <v>485</v>
      </c>
      <c r="B486" s="2">
        <v>3.0300000000000001E-2</v>
      </c>
      <c r="C486" s="2">
        <v>0.44</v>
      </c>
      <c r="D486" s="2">
        <v>0.22389999999999999</v>
      </c>
      <c r="E486" s="2">
        <v>0</v>
      </c>
      <c r="F486" s="2">
        <v>2</v>
      </c>
      <c r="G486" s="2">
        <v>2</v>
      </c>
      <c r="H486" s="4" t="str">
        <f>IF(Table13[[#This Row],[cnt]]&gt;100,"High","Low")</f>
        <v>Low</v>
      </c>
    </row>
    <row r="487" spans="1:8" ht="14.25" x14ac:dyDescent="0.2">
      <c r="A487" s="2">
        <v>486</v>
      </c>
      <c r="B487" s="2">
        <v>1.52E-2</v>
      </c>
      <c r="C487" s="2">
        <v>0.44</v>
      </c>
      <c r="D487" s="2">
        <v>0.28360000000000002</v>
      </c>
      <c r="E487" s="2">
        <v>0</v>
      </c>
      <c r="F487" s="2">
        <v>8</v>
      </c>
      <c r="G487" s="2">
        <v>8</v>
      </c>
      <c r="H487" s="4" t="str">
        <f>IF(Table13[[#This Row],[cnt]]&gt;100,"High","Low")</f>
        <v>Low</v>
      </c>
    </row>
    <row r="488" spans="1:8" ht="14.25" x14ac:dyDescent="0.2">
      <c r="A488" s="2">
        <v>487</v>
      </c>
      <c r="B488" s="2">
        <v>0</v>
      </c>
      <c r="C488" s="2">
        <v>0.44</v>
      </c>
      <c r="D488" s="2">
        <v>0.32840000000000003</v>
      </c>
      <c r="E488" s="2">
        <v>1</v>
      </c>
      <c r="F488" s="2">
        <v>26</v>
      </c>
      <c r="G488" s="2">
        <v>27</v>
      </c>
      <c r="H488" s="4" t="str">
        <f>IF(Table13[[#This Row],[cnt]]&gt;100,"High","Low")</f>
        <v>Low</v>
      </c>
    </row>
    <row r="489" spans="1:8" ht="14.25" x14ac:dyDescent="0.2">
      <c r="A489" s="2">
        <v>488</v>
      </c>
      <c r="B489" s="2">
        <v>3.0300000000000001E-2</v>
      </c>
      <c r="C489" s="2">
        <v>0.41</v>
      </c>
      <c r="D489" s="2">
        <v>0.25369999999999998</v>
      </c>
      <c r="E489" s="2">
        <v>3</v>
      </c>
      <c r="F489" s="2">
        <v>37</v>
      </c>
      <c r="G489" s="2">
        <v>40</v>
      </c>
      <c r="H489" s="4" t="str">
        <f>IF(Table13[[#This Row],[cnt]]&gt;100,"High","Low")</f>
        <v>Low</v>
      </c>
    </row>
    <row r="490" spans="1:8" ht="14.25" x14ac:dyDescent="0.2">
      <c r="A490" s="2">
        <v>489</v>
      </c>
      <c r="B490" s="2">
        <v>6.0600000000000001E-2</v>
      </c>
      <c r="C490" s="2">
        <v>0.41</v>
      </c>
      <c r="D490" s="2">
        <v>0.16420000000000001</v>
      </c>
      <c r="E490" s="2">
        <v>3</v>
      </c>
      <c r="F490" s="2">
        <v>50</v>
      </c>
      <c r="G490" s="2">
        <v>53</v>
      </c>
      <c r="H490" s="4" t="str">
        <f>IF(Table13[[#This Row],[cnt]]&gt;100,"High","Low")</f>
        <v>Low</v>
      </c>
    </row>
    <row r="491" spans="1:8" ht="14.25" x14ac:dyDescent="0.2">
      <c r="A491" s="2">
        <v>490</v>
      </c>
      <c r="B491" s="2">
        <v>7.5800000000000006E-2</v>
      </c>
      <c r="C491" s="2">
        <v>0.38</v>
      </c>
      <c r="D491" s="2">
        <v>0.1343</v>
      </c>
      <c r="E491" s="2">
        <v>4</v>
      </c>
      <c r="F491" s="2">
        <v>59</v>
      </c>
      <c r="G491" s="2">
        <v>63</v>
      </c>
      <c r="H491" s="4" t="str">
        <f>IF(Table13[[#This Row],[cnt]]&gt;100,"High","Low")</f>
        <v>Low</v>
      </c>
    </row>
    <row r="492" spans="1:8" ht="14.25" x14ac:dyDescent="0.2">
      <c r="A492" s="2">
        <v>491</v>
      </c>
      <c r="B492" s="2">
        <v>0.1061</v>
      </c>
      <c r="C492" s="2">
        <v>0.38</v>
      </c>
      <c r="D492" s="2">
        <v>0.1045</v>
      </c>
      <c r="E492" s="2">
        <v>10</v>
      </c>
      <c r="F492" s="2">
        <v>60</v>
      </c>
      <c r="G492" s="2">
        <v>70</v>
      </c>
      <c r="H492" s="4" t="str">
        <f>IF(Table13[[#This Row],[cnt]]&gt;100,"High","Low")</f>
        <v>Low</v>
      </c>
    </row>
    <row r="493" spans="1:8" ht="14.25" x14ac:dyDescent="0.2">
      <c r="A493" s="2">
        <v>492</v>
      </c>
      <c r="B493" s="2">
        <v>0.16669999999999999</v>
      </c>
      <c r="C493" s="2">
        <v>0.35</v>
      </c>
      <c r="D493" s="2">
        <v>0</v>
      </c>
      <c r="E493" s="2">
        <v>12</v>
      </c>
      <c r="F493" s="2">
        <v>72</v>
      </c>
      <c r="G493" s="2">
        <v>84</v>
      </c>
      <c r="H493" s="4" t="str">
        <f>IF(Table13[[#This Row],[cnt]]&gt;100,"High","Low")</f>
        <v>Low</v>
      </c>
    </row>
    <row r="494" spans="1:8" ht="14.25" x14ac:dyDescent="0.2">
      <c r="A494" s="2">
        <v>493</v>
      </c>
      <c r="B494" s="2">
        <v>0.13639999999999999</v>
      </c>
      <c r="C494" s="2">
        <v>0.33</v>
      </c>
      <c r="D494" s="2">
        <v>0.1045</v>
      </c>
      <c r="E494" s="2">
        <v>11</v>
      </c>
      <c r="F494" s="2">
        <v>64</v>
      </c>
      <c r="G494" s="2">
        <v>75</v>
      </c>
      <c r="H494" s="4" t="str">
        <f>IF(Table13[[#This Row],[cnt]]&gt;100,"High","Low")</f>
        <v>Low</v>
      </c>
    </row>
    <row r="495" spans="1:8" ht="14.25" x14ac:dyDescent="0.2">
      <c r="A495" s="2">
        <v>494</v>
      </c>
      <c r="B495" s="2">
        <v>0.1515</v>
      </c>
      <c r="C495" s="2">
        <v>0.28000000000000003</v>
      </c>
      <c r="D495" s="2">
        <v>0</v>
      </c>
      <c r="E495" s="2">
        <v>10</v>
      </c>
      <c r="F495" s="2">
        <v>93</v>
      </c>
      <c r="G495" s="2">
        <v>103</v>
      </c>
      <c r="H495" s="4" t="str">
        <f>IF(Table13[[#This Row],[cnt]]&gt;100,"High","Low")</f>
        <v>High</v>
      </c>
    </row>
    <row r="496" spans="1:8" ht="14.25" x14ac:dyDescent="0.2">
      <c r="A496" s="2">
        <v>495</v>
      </c>
      <c r="B496" s="2">
        <v>0.13639999999999999</v>
      </c>
      <c r="C496" s="2">
        <v>0.28000000000000003</v>
      </c>
      <c r="D496" s="2">
        <v>0.19400000000000001</v>
      </c>
      <c r="E496" s="2">
        <v>11</v>
      </c>
      <c r="F496" s="2">
        <v>72</v>
      </c>
      <c r="G496" s="2">
        <v>83</v>
      </c>
      <c r="H496" s="4" t="str">
        <f>IF(Table13[[#This Row],[cnt]]&gt;100,"High","Low")</f>
        <v>Low</v>
      </c>
    </row>
    <row r="497" spans="1:8" ht="14.25" x14ac:dyDescent="0.2">
      <c r="A497" s="2">
        <v>496</v>
      </c>
      <c r="B497" s="2">
        <v>0.19700000000000001</v>
      </c>
      <c r="C497" s="2">
        <v>0.28000000000000003</v>
      </c>
      <c r="D497" s="2">
        <v>0</v>
      </c>
      <c r="E497" s="2">
        <v>8</v>
      </c>
      <c r="F497" s="2">
        <v>59</v>
      </c>
      <c r="G497" s="2">
        <v>67</v>
      </c>
      <c r="H497" s="4" t="str">
        <f>IF(Table13[[#This Row],[cnt]]&gt;100,"High","Low")</f>
        <v>Low</v>
      </c>
    </row>
    <row r="498" spans="1:8" ht="14.25" x14ac:dyDescent="0.2">
      <c r="A498" s="2">
        <v>497</v>
      </c>
      <c r="B498" s="2">
        <v>9.0899999999999995E-2</v>
      </c>
      <c r="C498" s="2">
        <v>0.35</v>
      </c>
      <c r="D498" s="2">
        <v>0.19400000000000001</v>
      </c>
      <c r="E498" s="2">
        <v>0</v>
      </c>
      <c r="F498" s="2">
        <v>54</v>
      </c>
      <c r="G498" s="2">
        <v>54</v>
      </c>
      <c r="H498" s="4" t="str">
        <f>IF(Table13[[#This Row],[cnt]]&gt;100,"High","Low")</f>
        <v>Low</v>
      </c>
    </row>
    <row r="499" spans="1:8" ht="14.25" x14ac:dyDescent="0.2">
      <c r="A499" s="2">
        <v>498</v>
      </c>
      <c r="B499" s="2">
        <v>0.1061</v>
      </c>
      <c r="C499" s="2">
        <v>0.35</v>
      </c>
      <c r="D499" s="2">
        <v>0.1343</v>
      </c>
      <c r="E499" s="2">
        <v>6</v>
      </c>
      <c r="F499" s="2">
        <v>53</v>
      </c>
      <c r="G499" s="2">
        <v>59</v>
      </c>
      <c r="H499" s="4" t="str">
        <f>IF(Table13[[#This Row],[cnt]]&gt;100,"High","Low")</f>
        <v>Low</v>
      </c>
    </row>
    <row r="500" spans="1:8" ht="14.25" x14ac:dyDescent="0.2">
      <c r="A500" s="2">
        <v>499</v>
      </c>
      <c r="B500" s="2">
        <v>7.5800000000000006E-2</v>
      </c>
      <c r="C500" s="2">
        <v>0.45</v>
      </c>
      <c r="D500" s="2">
        <v>0.16420000000000001</v>
      </c>
      <c r="E500" s="2">
        <v>1</v>
      </c>
      <c r="F500" s="2">
        <v>44</v>
      </c>
      <c r="G500" s="2">
        <v>45</v>
      </c>
      <c r="H500" s="4" t="str">
        <f>IF(Table13[[#This Row],[cnt]]&gt;100,"High","Low")</f>
        <v>Low</v>
      </c>
    </row>
    <row r="501" spans="1:8" ht="14.25" x14ac:dyDescent="0.2">
      <c r="A501" s="2">
        <v>500</v>
      </c>
      <c r="B501" s="2">
        <v>0.1061</v>
      </c>
      <c r="C501" s="2">
        <v>0.41</v>
      </c>
      <c r="D501" s="2">
        <v>8.9599999999999999E-2</v>
      </c>
      <c r="E501" s="2">
        <v>0</v>
      </c>
      <c r="F501" s="2">
        <v>39</v>
      </c>
      <c r="G501" s="2">
        <v>39</v>
      </c>
      <c r="H501" s="4" t="str">
        <f>IF(Table13[[#This Row],[cnt]]&gt;100,"High","Low")</f>
        <v>Low</v>
      </c>
    </row>
    <row r="502" spans="1:8" ht="14.25" x14ac:dyDescent="0.2">
      <c r="A502" s="2">
        <v>501</v>
      </c>
      <c r="B502" s="2">
        <v>0.1515</v>
      </c>
      <c r="C502" s="2">
        <v>0.49</v>
      </c>
      <c r="D502" s="2">
        <v>0</v>
      </c>
      <c r="E502" s="2">
        <v>7</v>
      </c>
      <c r="F502" s="2">
        <v>23</v>
      </c>
      <c r="G502" s="2">
        <v>30</v>
      </c>
      <c r="H502" s="4" t="str">
        <f>IF(Table13[[#This Row],[cnt]]&gt;100,"High","Low")</f>
        <v>Low</v>
      </c>
    </row>
    <row r="503" spans="1:8" ht="14.25" x14ac:dyDescent="0.2">
      <c r="A503" s="2">
        <v>502</v>
      </c>
      <c r="B503" s="2">
        <v>7.5800000000000006E-2</v>
      </c>
      <c r="C503" s="2">
        <v>0.56999999999999995</v>
      </c>
      <c r="D503" s="2">
        <v>0.1045</v>
      </c>
      <c r="E503" s="2">
        <v>2</v>
      </c>
      <c r="F503" s="2">
        <v>31</v>
      </c>
      <c r="G503" s="2">
        <v>33</v>
      </c>
      <c r="H503" s="4" t="str">
        <f>IF(Table13[[#This Row],[cnt]]&gt;100,"High","Low")</f>
        <v>Low</v>
      </c>
    </row>
    <row r="504" spans="1:8" ht="14.25" x14ac:dyDescent="0.2">
      <c r="A504" s="2">
        <v>503</v>
      </c>
      <c r="B504" s="2">
        <v>7.5800000000000006E-2</v>
      </c>
      <c r="C504" s="2">
        <v>0.56999999999999995</v>
      </c>
      <c r="D504" s="2">
        <v>0.1045</v>
      </c>
      <c r="E504" s="2">
        <v>2</v>
      </c>
      <c r="F504" s="2">
        <v>20</v>
      </c>
      <c r="G504" s="2">
        <v>22</v>
      </c>
      <c r="H504" s="4" t="str">
        <f>IF(Table13[[#This Row],[cnt]]&gt;100,"High","Low")</f>
        <v>Low</v>
      </c>
    </row>
    <row r="505" spans="1:8" ht="14.25" x14ac:dyDescent="0.2">
      <c r="A505" s="2">
        <v>504</v>
      </c>
      <c r="B505" s="2">
        <v>7.5800000000000006E-2</v>
      </c>
      <c r="C505" s="2">
        <v>0.56999999999999995</v>
      </c>
      <c r="D505" s="2">
        <v>0.1045</v>
      </c>
      <c r="E505" s="2">
        <v>1</v>
      </c>
      <c r="F505" s="2">
        <v>12</v>
      </c>
      <c r="G505" s="2">
        <v>13</v>
      </c>
      <c r="H505" s="4" t="str">
        <f>IF(Table13[[#This Row],[cnt]]&gt;100,"High","Low")</f>
        <v>Low</v>
      </c>
    </row>
    <row r="506" spans="1:8" ht="14.25" x14ac:dyDescent="0.2">
      <c r="A506" s="2">
        <v>505</v>
      </c>
      <c r="B506" s="2">
        <v>6.0600000000000001E-2</v>
      </c>
      <c r="C506" s="2">
        <v>0.62</v>
      </c>
      <c r="D506" s="2">
        <v>0.1343</v>
      </c>
      <c r="E506" s="2">
        <v>3</v>
      </c>
      <c r="F506" s="2">
        <v>15</v>
      </c>
      <c r="G506" s="2">
        <v>18</v>
      </c>
      <c r="H506" s="4" t="str">
        <f>IF(Table13[[#This Row],[cnt]]&gt;100,"High","Low")</f>
        <v>Low</v>
      </c>
    </row>
    <row r="507" spans="1:8" ht="14.25" x14ac:dyDescent="0.2">
      <c r="A507" s="2">
        <v>506</v>
      </c>
      <c r="B507" s="2">
        <v>6.0600000000000001E-2</v>
      </c>
      <c r="C507" s="2">
        <v>0.62</v>
      </c>
      <c r="D507" s="2">
        <v>0.1343</v>
      </c>
      <c r="E507" s="2">
        <v>1</v>
      </c>
      <c r="F507" s="2">
        <v>4</v>
      </c>
      <c r="G507" s="2">
        <v>5</v>
      </c>
      <c r="H507" s="4" t="str">
        <f>IF(Table13[[#This Row],[cnt]]&gt;100,"High","Low")</f>
        <v>Low</v>
      </c>
    </row>
    <row r="508" spans="1:8" ht="14.25" x14ac:dyDescent="0.2">
      <c r="A508" s="2">
        <v>507</v>
      </c>
      <c r="B508" s="2">
        <v>7.5800000000000006E-2</v>
      </c>
      <c r="C508" s="2">
        <v>0.56999999999999995</v>
      </c>
      <c r="D508" s="2">
        <v>0.1045</v>
      </c>
      <c r="E508" s="2">
        <v>0</v>
      </c>
      <c r="F508" s="2">
        <v>3</v>
      </c>
      <c r="G508" s="2">
        <v>3</v>
      </c>
      <c r="H508" s="4" t="str">
        <f>IF(Table13[[#This Row],[cnt]]&gt;100,"High","Low")</f>
        <v>Low</v>
      </c>
    </row>
    <row r="509" spans="1:8" ht="14.25" x14ac:dyDescent="0.2">
      <c r="A509" s="2">
        <v>508</v>
      </c>
      <c r="B509" s="2">
        <v>7.5800000000000006E-2</v>
      </c>
      <c r="C509" s="2">
        <v>0.56999999999999995</v>
      </c>
      <c r="D509" s="2">
        <v>0.1045</v>
      </c>
      <c r="E509" s="2">
        <v>0</v>
      </c>
      <c r="F509" s="2">
        <v>1</v>
      </c>
      <c r="G509" s="2">
        <v>1</v>
      </c>
      <c r="H509" s="4" t="str">
        <f>IF(Table13[[#This Row],[cnt]]&gt;100,"High","Low")</f>
        <v>Low</v>
      </c>
    </row>
    <row r="510" spans="1:8" ht="14.25" x14ac:dyDescent="0.2">
      <c r="A510" s="2">
        <v>509</v>
      </c>
      <c r="B510" s="2">
        <v>0.1061</v>
      </c>
      <c r="C510" s="2">
        <v>0.57999999999999996</v>
      </c>
      <c r="D510" s="2">
        <v>0.16420000000000001</v>
      </c>
      <c r="E510" s="2">
        <v>1</v>
      </c>
      <c r="F510" s="2">
        <v>1</v>
      </c>
      <c r="G510" s="2">
        <v>2</v>
      </c>
      <c r="H510" s="4" t="str">
        <f>IF(Table13[[#This Row],[cnt]]&gt;100,"High","Low")</f>
        <v>Low</v>
      </c>
    </row>
    <row r="511" spans="1:8" ht="14.25" x14ac:dyDescent="0.2">
      <c r="A511" s="2">
        <v>510</v>
      </c>
      <c r="B511" s="2">
        <v>7.5800000000000006E-2</v>
      </c>
      <c r="C511" s="2">
        <v>0.62</v>
      </c>
      <c r="D511" s="2">
        <v>0.16420000000000001</v>
      </c>
      <c r="E511" s="2">
        <v>2</v>
      </c>
      <c r="F511" s="2">
        <v>17</v>
      </c>
      <c r="G511" s="2">
        <v>19</v>
      </c>
      <c r="H511" s="4" t="str">
        <f>IF(Table13[[#This Row],[cnt]]&gt;100,"High","Low")</f>
        <v>Low</v>
      </c>
    </row>
    <row r="512" spans="1:8" ht="14.25" x14ac:dyDescent="0.2">
      <c r="A512" s="2">
        <v>511</v>
      </c>
      <c r="B512" s="2">
        <v>7.5800000000000006E-2</v>
      </c>
      <c r="C512" s="2">
        <v>0.54</v>
      </c>
      <c r="D512" s="2">
        <v>0.35820000000000002</v>
      </c>
      <c r="E512" s="2">
        <v>3</v>
      </c>
      <c r="F512" s="2">
        <v>25</v>
      </c>
      <c r="G512" s="2">
        <v>28</v>
      </c>
      <c r="H512" s="4" t="str">
        <f>IF(Table13[[#This Row],[cnt]]&gt;100,"High","Low")</f>
        <v>Low</v>
      </c>
    </row>
    <row r="513" spans="1:8" ht="14.25" x14ac:dyDescent="0.2">
      <c r="A513" s="2">
        <v>512</v>
      </c>
      <c r="B513" s="2">
        <v>0.1061</v>
      </c>
      <c r="C513" s="2">
        <v>0.46</v>
      </c>
      <c r="D513" s="2">
        <v>0.3881</v>
      </c>
      <c r="E513" s="2">
        <v>7</v>
      </c>
      <c r="F513" s="2">
        <v>51</v>
      </c>
      <c r="G513" s="2">
        <v>58</v>
      </c>
      <c r="H513" s="4" t="str">
        <f>IF(Table13[[#This Row],[cnt]]&gt;100,"High","Low")</f>
        <v>Low</v>
      </c>
    </row>
    <row r="514" spans="1:8" ht="14.25" x14ac:dyDescent="0.2">
      <c r="A514" s="2">
        <v>513</v>
      </c>
      <c r="B514" s="2">
        <v>0.13639999999999999</v>
      </c>
      <c r="C514" s="2">
        <v>0.43</v>
      </c>
      <c r="D514" s="2">
        <v>0.22389999999999999</v>
      </c>
      <c r="E514" s="2">
        <v>22</v>
      </c>
      <c r="F514" s="2">
        <v>77</v>
      </c>
      <c r="G514" s="2">
        <v>99</v>
      </c>
      <c r="H514" s="4" t="str">
        <f>IF(Table13[[#This Row],[cnt]]&gt;100,"High","Low")</f>
        <v>Low</v>
      </c>
    </row>
    <row r="515" spans="1:8" ht="14.25" x14ac:dyDescent="0.2">
      <c r="A515" s="2">
        <v>514</v>
      </c>
      <c r="B515" s="2">
        <v>0.1212</v>
      </c>
      <c r="C515" s="2">
        <v>0.37</v>
      </c>
      <c r="D515" s="2">
        <v>0.4627</v>
      </c>
      <c r="E515" s="2">
        <v>24</v>
      </c>
      <c r="F515" s="2">
        <v>92</v>
      </c>
      <c r="G515" s="2">
        <v>116</v>
      </c>
      <c r="H515" s="4" t="str">
        <f>IF(Table13[[#This Row],[cnt]]&gt;100,"High","Low")</f>
        <v>High</v>
      </c>
    </row>
    <row r="516" spans="1:8" ht="14.25" x14ac:dyDescent="0.2">
      <c r="A516" s="2">
        <v>515</v>
      </c>
      <c r="B516" s="2">
        <v>0.1061</v>
      </c>
      <c r="C516" s="2">
        <v>0.33</v>
      </c>
      <c r="D516" s="2">
        <v>0.3881</v>
      </c>
      <c r="E516" s="2">
        <v>12</v>
      </c>
      <c r="F516" s="2">
        <v>75</v>
      </c>
      <c r="G516" s="2">
        <v>87</v>
      </c>
      <c r="H516" s="4" t="str">
        <f>IF(Table13[[#This Row],[cnt]]&gt;100,"High","Low")</f>
        <v>Low</v>
      </c>
    </row>
    <row r="517" spans="1:8" ht="14.25" x14ac:dyDescent="0.2">
      <c r="A517" s="2">
        <v>516</v>
      </c>
      <c r="B517" s="2">
        <v>0.13639999999999999</v>
      </c>
      <c r="C517" s="2">
        <v>0.28000000000000003</v>
      </c>
      <c r="D517" s="2">
        <v>0.35820000000000002</v>
      </c>
      <c r="E517" s="2">
        <v>17</v>
      </c>
      <c r="F517" s="2">
        <v>93</v>
      </c>
      <c r="G517" s="2">
        <v>110</v>
      </c>
      <c r="H517" s="4" t="str">
        <f>IF(Table13[[#This Row],[cnt]]&gt;100,"High","Low")</f>
        <v>High</v>
      </c>
    </row>
    <row r="518" spans="1:8" ht="14.25" x14ac:dyDescent="0.2">
      <c r="A518" s="2">
        <v>517</v>
      </c>
      <c r="B518" s="2">
        <v>0.13639999999999999</v>
      </c>
      <c r="C518" s="2">
        <v>0.28000000000000003</v>
      </c>
      <c r="D518" s="2">
        <v>0.35820000000000002</v>
      </c>
      <c r="E518" s="2">
        <v>13</v>
      </c>
      <c r="F518" s="2">
        <v>64</v>
      </c>
      <c r="G518" s="2">
        <v>77</v>
      </c>
      <c r="H518" s="4" t="str">
        <f>IF(Table13[[#This Row],[cnt]]&gt;100,"High","Low")</f>
        <v>Low</v>
      </c>
    </row>
    <row r="519" spans="1:8" ht="14.25" x14ac:dyDescent="0.2">
      <c r="A519" s="2">
        <v>518</v>
      </c>
      <c r="B519" s="2">
        <v>0.13639999999999999</v>
      </c>
      <c r="C519" s="2">
        <v>0.26</v>
      </c>
      <c r="D519" s="2">
        <v>0.32840000000000003</v>
      </c>
      <c r="E519" s="2">
        <v>9</v>
      </c>
      <c r="F519" s="2">
        <v>56</v>
      </c>
      <c r="G519" s="2">
        <v>65</v>
      </c>
      <c r="H519" s="4" t="str">
        <f>IF(Table13[[#This Row],[cnt]]&gt;100,"High","Low")</f>
        <v>Low</v>
      </c>
    </row>
    <row r="520" spans="1:8" ht="14.25" x14ac:dyDescent="0.2">
      <c r="A520" s="2">
        <v>519</v>
      </c>
      <c r="B520" s="2">
        <v>0.1061</v>
      </c>
      <c r="C520" s="2">
        <v>0.26</v>
      </c>
      <c r="D520" s="2">
        <v>0.3881</v>
      </c>
      <c r="E520" s="2">
        <v>5</v>
      </c>
      <c r="F520" s="2">
        <v>50</v>
      </c>
      <c r="G520" s="2">
        <v>55</v>
      </c>
      <c r="H520" s="4" t="str">
        <f>IF(Table13[[#This Row],[cnt]]&gt;100,"High","Low")</f>
        <v>Low</v>
      </c>
    </row>
    <row r="521" spans="1:8" ht="14.25" x14ac:dyDescent="0.2">
      <c r="A521" s="2">
        <v>520</v>
      </c>
      <c r="B521" s="2">
        <v>0.1212</v>
      </c>
      <c r="C521" s="2">
        <v>0.3</v>
      </c>
      <c r="D521" s="2">
        <v>0.25369999999999998</v>
      </c>
      <c r="E521" s="2">
        <v>5</v>
      </c>
      <c r="F521" s="2">
        <v>44</v>
      </c>
      <c r="G521" s="2">
        <v>49</v>
      </c>
      <c r="H521" s="4" t="str">
        <f>IF(Table13[[#This Row],[cnt]]&gt;100,"High","Low")</f>
        <v>Low</v>
      </c>
    </row>
    <row r="522" spans="1:8" ht="14.25" x14ac:dyDescent="0.2">
      <c r="A522" s="2">
        <v>521</v>
      </c>
      <c r="B522" s="2">
        <v>0.1212</v>
      </c>
      <c r="C522" s="2">
        <v>0.3</v>
      </c>
      <c r="D522" s="2">
        <v>0.28360000000000002</v>
      </c>
      <c r="E522" s="2">
        <v>5</v>
      </c>
      <c r="F522" s="2">
        <v>45</v>
      </c>
      <c r="G522" s="2">
        <v>50</v>
      </c>
      <c r="H522" s="4" t="str">
        <f>IF(Table13[[#This Row],[cnt]]&gt;100,"High","Low")</f>
        <v>Low</v>
      </c>
    </row>
    <row r="523" spans="1:8" ht="14.25" x14ac:dyDescent="0.2">
      <c r="A523" s="2">
        <v>522</v>
      </c>
      <c r="B523" s="2">
        <v>0.1061</v>
      </c>
      <c r="C523" s="2">
        <v>0.36</v>
      </c>
      <c r="D523" s="2">
        <v>0.25369999999999998</v>
      </c>
      <c r="E523" s="2">
        <v>4</v>
      </c>
      <c r="F523" s="2">
        <v>31</v>
      </c>
      <c r="G523" s="2">
        <v>35</v>
      </c>
      <c r="H523" s="4" t="str">
        <f>IF(Table13[[#This Row],[cnt]]&gt;100,"High","Low")</f>
        <v>Low</v>
      </c>
    </row>
    <row r="524" spans="1:8" ht="14.25" x14ac:dyDescent="0.2">
      <c r="A524" s="2">
        <v>523</v>
      </c>
      <c r="B524" s="2">
        <v>0.1061</v>
      </c>
      <c r="C524" s="2">
        <v>0.36</v>
      </c>
      <c r="D524" s="2">
        <v>0.19400000000000001</v>
      </c>
      <c r="E524" s="2">
        <v>5</v>
      </c>
      <c r="F524" s="2">
        <v>20</v>
      </c>
      <c r="G524" s="2">
        <v>25</v>
      </c>
      <c r="H524" s="4" t="str">
        <f>IF(Table13[[#This Row],[cnt]]&gt;100,"High","Low")</f>
        <v>Low</v>
      </c>
    </row>
    <row r="525" spans="1:8" ht="14.25" x14ac:dyDescent="0.2">
      <c r="A525" s="2">
        <v>524</v>
      </c>
      <c r="B525" s="2">
        <v>9.0899999999999995E-2</v>
      </c>
      <c r="C525" s="2">
        <v>0.38</v>
      </c>
      <c r="D525" s="2">
        <v>0.19400000000000001</v>
      </c>
      <c r="E525" s="2">
        <v>5</v>
      </c>
      <c r="F525" s="2">
        <v>23</v>
      </c>
      <c r="G525" s="2">
        <v>28</v>
      </c>
      <c r="H525" s="4" t="str">
        <f>IF(Table13[[#This Row],[cnt]]&gt;100,"High","Low")</f>
        <v>Low</v>
      </c>
    </row>
    <row r="526" spans="1:8" ht="14.25" x14ac:dyDescent="0.2">
      <c r="A526" s="2">
        <v>525</v>
      </c>
      <c r="B526" s="2">
        <v>6.0600000000000001E-2</v>
      </c>
      <c r="C526" s="2">
        <v>0.41</v>
      </c>
      <c r="D526" s="2">
        <v>0.22389999999999999</v>
      </c>
      <c r="E526" s="2">
        <v>4</v>
      </c>
      <c r="F526" s="2">
        <v>17</v>
      </c>
      <c r="G526" s="2">
        <v>21</v>
      </c>
      <c r="H526" s="4" t="str">
        <f>IF(Table13[[#This Row],[cnt]]&gt;100,"High","Low")</f>
        <v>Low</v>
      </c>
    </row>
    <row r="527" spans="1:8" ht="14.25" x14ac:dyDescent="0.2">
      <c r="A527" s="2">
        <v>526</v>
      </c>
      <c r="B527" s="2">
        <v>6.0600000000000001E-2</v>
      </c>
      <c r="C527" s="2">
        <v>0.41</v>
      </c>
      <c r="D527" s="2">
        <v>0.19400000000000001</v>
      </c>
      <c r="E527" s="2">
        <v>0</v>
      </c>
      <c r="F527" s="2">
        <v>7</v>
      </c>
      <c r="G527" s="2">
        <v>7</v>
      </c>
      <c r="H527" s="4" t="str">
        <f>IF(Table13[[#This Row],[cnt]]&gt;100,"High","Low")</f>
        <v>Low</v>
      </c>
    </row>
    <row r="528" spans="1:8" ht="14.25" x14ac:dyDescent="0.2">
      <c r="A528" s="2">
        <v>527</v>
      </c>
      <c r="B528" s="2">
        <v>4.5499999999999999E-2</v>
      </c>
      <c r="C528" s="2">
        <v>0.45</v>
      </c>
      <c r="D528" s="2">
        <v>0.19400000000000001</v>
      </c>
      <c r="E528" s="2">
        <v>0</v>
      </c>
      <c r="F528" s="2">
        <v>1</v>
      </c>
      <c r="G528" s="2">
        <v>1</v>
      </c>
      <c r="H528" s="4" t="str">
        <f>IF(Table13[[#This Row],[cnt]]&gt;100,"High","Low")</f>
        <v>Low</v>
      </c>
    </row>
    <row r="529" spans="1:8" ht="14.25" x14ac:dyDescent="0.2">
      <c r="A529" s="2">
        <v>528</v>
      </c>
      <c r="B529" s="2">
        <v>3.0300000000000001E-2</v>
      </c>
      <c r="C529" s="2">
        <v>0.45</v>
      </c>
      <c r="D529" s="2">
        <v>0.25369999999999998</v>
      </c>
      <c r="E529" s="2">
        <v>0</v>
      </c>
      <c r="F529" s="2">
        <v>1</v>
      </c>
      <c r="G529" s="2">
        <v>1</v>
      </c>
      <c r="H529" s="4" t="str">
        <f>IF(Table13[[#This Row],[cnt]]&gt;100,"High","Low")</f>
        <v>Low</v>
      </c>
    </row>
    <row r="530" spans="1:8" ht="14.25" x14ac:dyDescent="0.2">
      <c r="A530" s="2">
        <v>529</v>
      </c>
      <c r="B530" s="2">
        <v>6.0600000000000001E-2</v>
      </c>
      <c r="C530" s="2">
        <v>0.48</v>
      </c>
      <c r="D530" s="2">
        <v>0.1343</v>
      </c>
      <c r="E530" s="2">
        <v>0</v>
      </c>
      <c r="F530" s="2">
        <v>1</v>
      </c>
      <c r="G530" s="2">
        <v>1</v>
      </c>
      <c r="H530" s="4" t="str">
        <f>IF(Table13[[#This Row],[cnt]]&gt;100,"High","Low")</f>
        <v>Low</v>
      </c>
    </row>
    <row r="531" spans="1:8" ht="14.25" x14ac:dyDescent="0.2">
      <c r="A531" s="2">
        <v>530</v>
      </c>
      <c r="B531" s="2">
        <v>6.0600000000000001E-2</v>
      </c>
      <c r="C531" s="2">
        <v>0.48</v>
      </c>
      <c r="D531" s="2">
        <v>0.1343</v>
      </c>
      <c r="E531" s="2">
        <v>0</v>
      </c>
      <c r="F531" s="2">
        <v>5</v>
      </c>
      <c r="G531" s="2">
        <v>5</v>
      </c>
      <c r="H531" s="4" t="str">
        <f>IF(Table13[[#This Row],[cnt]]&gt;100,"High","Low")</f>
        <v>Low</v>
      </c>
    </row>
    <row r="532" spans="1:8" ht="14.25" x14ac:dyDescent="0.2">
      <c r="A532" s="2">
        <v>531</v>
      </c>
      <c r="B532" s="2">
        <v>7.5800000000000006E-2</v>
      </c>
      <c r="C532" s="2">
        <v>0.48</v>
      </c>
      <c r="D532" s="2">
        <v>8.9599999999999999E-2</v>
      </c>
      <c r="E532" s="2">
        <v>0</v>
      </c>
      <c r="F532" s="2">
        <v>15</v>
      </c>
      <c r="G532" s="2">
        <v>15</v>
      </c>
      <c r="H532" s="4" t="str">
        <f>IF(Table13[[#This Row],[cnt]]&gt;100,"High","Low")</f>
        <v>Low</v>
      </c>
    </row>
    <row r="533" spans="1:8" ht="14.25" x14ac:dyDescent="0.2">
      <c r="A533" s="2">
        <v>532</v>
      </c>
      <c r="B533" s="2">
        <v>0.1212</v>
      </c>
      <c r="C533" s="2">
        <v>0.48</v>
      </c>
      <c r="D533" s="2">
        <v>0</v>
      </c>
      <c r="E533" s="2">
        <v>5</v>
      </c>
      <c r="F533" s="2">
        <v>79</v>
      </c>
      <c r="G533" s="2">
        <v>84</v>
      </c>
      <c r="H533" s="4" t="str">
        <f>IF(Table13[[#This Row],[cnt]]&gt;100,"High","Low")</f>
        <v>Low</v>
      </c>
    </row>
    <row r="534" spans="1:8" ht="14.25" x14ac:dyDescent="0.2">
      <c r="A534" s="2">
        <v>533</v>
      </c>
      <c r="B534" s="2">
        <v>0.13639999999999999</v>
      </c>
      <c r="C534" s="2">
        <v>0.49</v>
      </c>
      <c r="D534" s="2">
        <v>0</v>
      </c>
      <c r="E534" s="2">
        <v>6</v>
      </c>
      <c r="F534" s="2">
        <v>171</v>
      </c>
      <c r="G534" s="2">
        <v>177</v>
      </c>
      <c r="H534" s="4" t="str">
        <f>IF(Table13[[#This Row],[cnt]]&gt;100,"High","Low")</f>
        <v>High</v>
      </c>
    </row>
    <row r="535" spans="1:8" ht="14.25" x14ac:dyDescent="0.2">
      <c r="A535" s="2">
        <v>534</v>
      </c>
      <c r="B535" s="2">
        <v>0.1515</v>
      </c>
      <c r="C535" s="2">
        <v>0.41</v>
      </c>
      <c r="D535" s="2">
        <v>0</v>
      </c>
      <c r="E535" s="2">
        <v>4</v>
      </c>
      <c r="F535" s="2">
        <v>98</v>
      </c>
      <c r="G535" s="2">
        <v>102</v>
      </c>
      <c r="H535" s="4" t="str">
        <f>IF(Table13[[#This Row],[cnt]]&gt;100,"High","Low")</f>
        <v>High</v>
      </c>
    </row>
    <row r="536" spans="1:8" ht="14.25" x14ac:dyDescent="0.2">
      <c r="A536" s="2">
        <v>535</v>
      </c>
      <c r="B536" s="2">
        <v>0.13639999999999999</v>
      </c>
      <c r="C536" s="2">
        <v>0.42</v>
      </c>
      <c r="D536" s="2">
        <v>0</v>
      </c>
      <c r="E536" s="2">
        <v>6</v>
      </c>
      <c r="F536" s="2">
        <v>34</v>
      </c>
      <c r="G536" s="2">
        <v>40</v>
      </c>
      <c r="H536" s="4" t="str">
        <f>IF(Table13[[#This Row],[cnt]]&gt;100,"High","Low")</f>
        <v>Low</v>
      </c>
    </row>
    <row r="537" spans="1:8" ht="14.25" x14ac:dyDescent="0.2">
      <c r="A537" s="2">
        <v>536</v>
      </c>
      <c r="B537" s="2">
        <v>0.1212</v>
      </c>
      <c r="C537" s="2">
        <v>0.46</v>
      </c>
      <c r="D537" s="2">
        <v>0.1343</v>
      </c>
      <c r="E537" s="2">
        <v>3</v>
      </c>
      <c r="F537" s="2">
        <v>43</v>
      </c>
      <c r="G537" s="2">
        <v>46</v>
      </c>
      <c r="H537" s="4" t="str">
        <f>IF(Table13[[#This Row],[cnt]]&gt;100,"High","Low")</f>
        <v>Low</v>
      </c>
    </row>
    <row r="538" spans="1:8" ht="14.25" x14ac:dyDescent="0.2">
      <c r="A538" s="2">
        <v>537</v>
      </c>
      <c r="B538" s="2">
        <v>0.13639999999999999</v>
      </c>
      <c r="C538" s="2">
        <v>0.42</v>
      </c>
      <c r="D538" s="2">
        <v>0.19400000000000001</v>
      </c>
      <c r="E538" s="2">
        <v>11</v>
      </c>
      <c r="F538" s="2">
        <v>52</v>
      </c>
      <c r="G538" s="2">
        <v>63</v>
      </c>
      <c r="H538" s="4" t="str">
        <f>IF(Table13[[#This Row],[cnt]]&gt;100,"High","Low")</f>
        <v>Low</v>
      </c>
    </row>
    <row r="539" spans="1:8" ht="14.25" x14ac:dyDescent="0.2">
      <c r="A539" s="2">
        <v>538</v>
      </c>
      <c r="B539" s="2">
        <v>0.13639999999999999</v>
      </c>
      <c r="C539" s="2">
        <v>0.43</v>
      </c>
      <c r="D539" s="2">
        <v>0.22389999999999999</v>
      </c>
      <c r="E539" s="2">
        <v>6</v>
      </c>
      <c r="F539" s="2">
        <v>54</v>
      </c>
      <c r="G539" s="2">
        <v>60</v>
      </c>
      <c r="H539" s="4" t="str">
        <f>IF(Table13[[#This Row],[cnt]]&gt;100,"High","Low")</f>
        <v>Low</v>
      </c>
    </row>
    <row r="540" spans="1:8" ht="14.25" x14ac:dyDescent="0.2">
      <c r="A540" s="2">
        <v>539</v>
      </c>
      <c r="B540" s="2">
        <v>0.13639999999999999</v>
      </c>
      <c r="C540" s="2">
        <v>0.46</v>
      </c>
      <c r="D540" s="2">
        <v>0.22389999999999999</v>
      </c>
      <c r="E540" s="2">
        <v>2</v>
      </c>
      <c r="F540" s="2">
        <v>43</v>
      </c>
      <c r="G540" s="2">
        <v>45</v>
      </c>
      <c r="H540" s="4" t="str">
        <f>IF(Table13[[#This Row],[cnt]]&gt;100,"High","Low")</f>
        <v>Low</v>
      </c>
    </row>
    <row r="541" spans="1:8" ht="14.25" x14ac:dyDescent="0.2">
      <c r="A541" s="2">
        <v>540</v>
      </c>
      <c r="B541" s="2">
        <v>0.16669999999999999</v>
      </c>
      <c r="C541" s="2">
        <v>0.4</v>
      </c>
      <c r="D541" s="2">
        <v>0.16420000000000001</v>
      </c>
      <c r="E541" s="2">
        <v>7</v>
      </c>
      <c r="F541" s="2">
        <v>50</v>
      </c>
      <c r="G541" s="2">
        <v>57</v>
      </c>
      <c r="H541" s="4" t="str">
        <f>IF(Table13[[#This Row],[cnt]]&gt;100,"High","Low")</f>
        <v>Low</v>
      </c>
    </row>
    <row r="542" spans="1:8" ht="14.25" x14ac:dyDescent="0.2">
      <c r="A542" s="2">
        <v>541</v>
      </c>
      <c r="B542" s="2">
        <v>0.1515</v>
      </c>
      <c r="C542" s="2">
        <v>0.47</v>
      </c>
      <c r="D542" s="2">
        <v>0.25369999999999998</v>
      </c>
      <c r="E542" s="2">
        <v>4</v>
      </c>
      <c r="F542" s="2">
        <v>66</v>
      </c>
      <c r="G542" s="2">
        <v>70</v>
      </c>
      <c r="H542" s="4" t="str">
        <f>IF(Table13[[#This Row],[cnt]]&gt;100,"High","Low")</f>
        <v>Low</v>
      </c>
    </row>
    <row r="543" spans="1:8" ht="14.25" x14ac:dyDescent="0.2">
      <c r="A543" s="2">
        <v>542</v>
      </c>
      <c r="B543" s="2">
        <v>0.1212</v>
      </c>
      <c r="C543" s="2">
        <v>0.5</v>
      </c>
      <c r="D543" s="2">
        <v>0.25369999999999998</v>
      </c>
      <c r="E543" s="2">
        <v>6</v>
      </c>
      <c r="F543" s="2">
        <v>178</v>
      </c>
      <c r="G543" s="2">
        <v>184</v>
      </c>
      <c r="H543" s="4" t="str">
        <f>IF(Table13[[#This Row],[cnt]]&gt;100,"High","Low")</f>
        <v>High</v>
      </c>
    </row>
    <row r="544" spans="1:8" ht="14.25" x14ac:dyDescent="0.2">
      <c r="A544" s="2">
        <v>543</v>
      </c>
      <c r="B544" s="2">
        <v>0.13639999999999999</v>
      </c>
      <c r="C544" s="2">
        <v>0.59</v>
      </c>
      <c r="D544" s="2">
        <v>0.19400000000000001</v>
      </c>
      <c r="E544" s="2">
        <v>8</v>
      </c>
      <c r="F544" s="2">
        <v>145</v>
      </c>
      <c r="G544" s="2">
        <v>153</v>
      </c>
      <c r="H544" s="4" t="str">
        <f>IF(Table13[[#This Row],[cnt]]&gt;100,"High","Low")</f>
        <v>High</v>
      </c>
    </row>
    <row r="545" spans="1:8" ht="14.25" x14ac:dyDescent="0.2">
      <c r="A545" s="2">
        <v>544</v>
      </c>
      <c r="B545" s="2">
        <v>0.1515</v>
      </c>
      <c r="C545" s="2">
        <v>0.54</v>
      </c>
      <c r="D545" s="2">
        <v>0.16420000000000001</v>
      </c>
      <c r="E545" s="2">
        <v>5</v>
      </c>
      <c r="F545" s="2">
        <v>101</v>
      </c>
      <c r="G545" s="2">
        <v>106</v>
      </c>
      <c r="H545" s="4" t="str">
        <f>IF(Table13[[#This Row],[cnt]]&gt;100,"High","Low")</f>
        <v>High</v>
      </c>
    </row>
    <row r="546" spans="1:8" ht="14.25" x14ac:dyDescent="0.2">
      <c r="A546" s="2">
        <v>545</v>
      </c>
      <c r="B546" s="2">
        <v>0.13639999999999999</v>
      </c>
      <c r="C546" s="2">
        <v>0.59</v>
      </c>
      <c r="D546" s="2">
        <v>0.19400000000000001</v>
      </c>
      <c r="E546" s="2">
        <v>1</v>
      </c>
      <c r="F546" s="2">
        <v>80</v>
      </c>
      <c r="G546" s="2">
        <v>81</v>
      </c>
      <c r="H546" s="4" t="str">
        <f>IF(Table13[[#This Row],[cnt]]&gt;100,"High","Low")</f>
        <v>Low</v>
      </c>
    </row>
    <row r="547" spans="1:8" ht="14.25" x14ac:dyDescent="0.2">
      <c r="A547" s="2">
        <v>546</v>
      </c>
      <c r="B547" s="2">
        <v>0.1515</v>
      </c>
      <c r="C547" s="2">
        <v>0.63</v>
      </c>
      <c r="D547" s="2">
        <v>0.16420000000000001</v>
      </c>
      <c r="E547" s="2">
        <v>6</v>
      </c>
      <c r="F547" s="2">
        <v>53</v>
      </c>
      <c r="G547" s="2">
        <v>59</v>
      </c>
      <c r="H547" s="4" t="str">
        <f>IF(Table13[[#This Row],[cnt]]&gt;100,"High","Low")</f>
        <v>Low</v>
      </c>
    </row>
    <row r="548" spans="1:8" ht="14.25" x14ac:dyDescent="0.2">
      <c r="A548" s="2">
        <v>547</v>
      </c>
      <c r="B548" s="2">
        <v>0.13639999999999999</v>
      </c>
      <c r="C548" s="2">
        <v>0.63</v>
      </c>
      <c r="D548" s="2">
        <v>0.22389999999999999</v>
      </c>
      <c r="E548" s="2">
        <v>3</v>
      </c>
      <c r="F548" s="2">
        <v>32</v>
      </c>
      <c r="G548" s="2">
        <v>35</v>
      </c>
      <c r="H548" s="4" t="str">
        <f>IF(Table13[[#This Row],[cnt]]&gt;100,"High","Low")</f>
        <v>Low</v>
      </c>
    </row>
    <row r="549" spans="1:8" ht="14.25" x14ac:dyDescent="0.2">
      <c r="A549" s="2">
        <v>548</v>
      </c>
      <c r="B549" s="2">
        <v>0.1515</v>
      </c>
      <c r="C549" s="2">
        <v>0.64</v>
      </c>
      <c r="D549" s="2">
        <v>0.25369999999999998</v>
      </c>
      <c r="E549" s="2">
        <v>3</v>
      </c>
      <c r="F549" s="2">
        <v>21</v>
      </c>
      <c r="G549" s="2">
        <v>24</v>
      </c>
      <c r="H549" s="4" t="str">
        <f>IF(Table13[[#This Row],[cnt]]&gt;100,"High","Low")</f>
        <v>Low</v>
      </c>
    </row>
    <row r="550" spans="1:8" ht="14.25" x14ac:dyDescent="0.2">
      <c r="A550" s="2">
        <v>549</v>
      </c>
      <c r="B550" s="2">
        <v>0.13639999999999999</v>
      </c>
      <c r="C550" s="2">
        <v>0.69</v>
      </c>
      <c r="D550" s="2">
        <v>0.28360000000000002</v>
      </c>
      <c r="E550" s="2">
        <v>3</v>
      </c>
      <c r="F550" s="2">
        <v>6</v>
      </c>
      <c r="G550" s="2">
        <v>9</v>
      </c>
      <c r="H550" s="4" t="str">
        <f>IF(Table13[[#This Row],[cnt]]&gt;100,"High","Low")</f>
        <v>Low</v>
      </c>
    </row>
    <row r="551" spans="1:8" ht="14.25" x14ac:dyDescent="0.2">
      <c r="A551" s="2">
        <v>550</v>
      </c>
      <c r="B551" s="2">
        <v>0.16669999999999999</v>
      </c>
      <c r="C551" s="2">
        <v>0.69</v>
      </c>
      <c r="D551" s="2">
        <v>0.16420000000000001</v>
      </c>
      <c r="E551" s="2">
        <v>0</v>
      </c>
      <c r="F551" s="2">
        <v>5</v>
      </c>
      <c r="G551" s="2">
        <v>5</v>
      </c>
      <c r="H551" s="4" t="str">
        <f>IF(Table13[[#This Row],[cnt]]&gt;100,"High","Low")</f>
        <v>Low</v>
      </c>
    </row>
    <row r="552" spans="1:8" ht="14.25" x14ac:dyDescent="0.2">
      <c r="A552" s="2">
        <v>551</v>
      </c>
      <c r="B552" s="2">
        <v>0.1515</v>
      </c>
      <c r="C552" s="2">
        <v>0.69</v>
      </c>
      <c r="D552" s="2">
        <v>0.22389999999999999</v>
      </c>
      <c r="E552" s="2">
        <v>0</v>
      </c>
      <c r="F552" s="2">
        <v>2</v>
      </c>
      <c r="G552" s="2">
        <v>2</v>
      </c>
      <c r="H552" s="4" t="str">
        <f>IF(Table13[[#This Row],[cnt]]&gt;100,"High","Low")</f>
        <v>Low</v>
      </c>
    </row>
    <row r="553" spans="1:8" ht="14.25" x14ac:dyDescent="0.2">
      <c r="A553" s="2">
        <v>552</v>
      </c>
      <c r="B553" s="2">
        <v>0.16669999999999999</v>
      </c>
      <c r="C553" s="2">
        <v>0.74</v>
      </c>
      <c r="D553" s="2">
        <v>0.1045</v>
      </c>
      <c r="E553" s="2">
        <v>0</v>
      </c>
      <c r="F553" s="2">
        <v>1</v>
      </c>
      <c r="G553" s="2">
        <v>1</v>
      </c>
      <c r="H553" s="4" t="str">
        <f>IF(Table13[[#This Row],[cnt]]&gt;100,"High","Low")</f>
        <v>Low</v>
      </c>
    </row>
    <row r="554" spans="1:8" ht="14.25" x14ac:dyDescent="0.2">
      <c r="A554" s="2">
        <v>553</v>
      </c>
      <c r="B554" s="2">
        <v>0.13639999999999999</v>
      </c>
      <c r="C554" s="2">
        <v>0.74</v>
      </c>
      <c r="D554" s="2">
        <v>0.22389999999999999</v>
      </c>
      <c r="E554" s="2">
        <v>0</v>
      </c>
      <c r="F554" s="2">
        <v>9</v>
      </c>
      <c r="G554" s="2">
        <v>9</v>
      </c>
      <c r="H554" s="4" t="str">
        <f>IF(Table13[[#This Row],[cnt]]&gt;100,"High","Low")</f>
        <v>Low</v>
      </c>
    </row>
    <row r="555" spans="1:8" ht="14.25" x14ac:dyDescent="0.2">
      <c r="A555" s="2">
        <v>554</v>
      </c>
      <c r="B555" s="2">
        <v>0.18179999999999999</v>
      </c>
      <c r="C555" s="2">
        <v>0.74</v>
      </c>
      <c r="D555" s="2">
        <v>0.1045</v>
      </c>
      <c r="E555" s="2">
        <v>1</v>
      </c>
      <c r="F555" s="2">
        <v>35</v>
      </c>
      <c r="G555" s="2">
        <v>36</v>
      </c>
      <c r="H555" s="4" t="str">
        <f>IF(Table13[[#This Row],[cnt]]&gt;100,"High","Low")</f>
        <v>Low</v>
      </c>
    </row>
    <row r="556" spans="1:8" ht="14.25" x14ac:dyDescent="0.2">
      <c r="A556" s="2">
        <v>555</v>
      </c>
      <c r="B556" s="2">
        <v>0.1515</v>
      </c>
      <c r="C556" s="2">
        <v>0.74</v>
      </c>
      <c r="D556" s="2">
        <v>0.22389999999999999</v>
      </c>
      <c r="E556" s="2">
        <v>5</v>
      </c>
      <c r="F556" s="2">
        <v>103</v>
      </c>
      <c r="G556" s="2">
        <v>108</v>
      </c>
      <c r="H556" s="4" t="str">
        <f>IF(Table13[[#This Row],[cnt]]&gt;100,"High","Low")</f>
        <v>High</v>
      </c>
    </row>
    <row r="557" spans="1:8" ht="14.25" x14ac:dyDescent="0.2">
      <c r="A557" s="2">
        <v>556</v>
      </c>
      <c r="B557" s="2">
        <v>0.18179999999999999</v>
      </c>
      <c r="C557" s="2">
        <v>0.74</v>
      </c>
      <c r="D557" s="2">
        <v>0.1343</v>
      </c>
      <c r="E557" s="2">
        <v>5</v>
      </c>
      <c r="F557" s="2">
        <v>233</v>
      </c>
      <c r="G557" s="2">
        <v>238</v>
      </c>
      <c r="H557" s="4" t="str">
        <f>IF(Table13[[#This Row],[cnt]]&gt;100,"High","Low")</f>
        <v>High</v>
      </c>
    </row>
    <row r="558" spans="1:8" ht="14.25" x14ac:dyDescent="0.2">
      <c r="A558" s="2">
        <v>557</v>
      </c>
      <c r="B558" s="2">
        <v>0.2273</v>
      </c>
      <c r="C558" s="2">
        <v>0.64</v>
      </c>
      <c r="D558" s="2">
        <v>8.9599999999999999E-2</v>
      </c>
      <c r="E558" s="2">
        <v>10</v>
      </c>
      <c r="F558" s="2">
        <v>134</v>
      </c>
      <c r="G558" s="2">
        <v>144</v>
      </c>
      <c r="H558" s="4" t="str">
        <f>IF(Table13[[#This Row],[cnt]]&gt;100,"High","Low")</f>
        <v>High</v>
      </c>
    </row>
    <row r="559" spans="1:8" ht="14.25" x14ac:dyDescent="0.2">
      <c r="A559" s="2">
        <v>558</v>
      </c>
      <c r="B559" s="2">
        <v>0.2424</v>
      </c>
      <c r="C559" s="2">
        <v>0.6</v>
      </c>
      <c r="D559" s="2">
        <v>0.1045</v>
      </c>
      <c r="E559" s="2">
        <v>6</v>
      </c>
      <c r="F559" s="2">
        <v>49</v>
      </c>
      <c r="G559" s="2">
        <v>55</v>
      </c>
      <c r="H559" s="4" t="str">
        <f>IF(Table13[[#This Row],[cnt]]&gt;100,"High","Low")</f>
        <v>Low</v>
      </c>
    </row>
    <row r="560" spans="1:8" ht="14.25" x14ac:dyDescent="0.2">
      <c r="A560" s="2">
        <v>559</v>
      </c>
      <c r="B560" s="2">
        <v>0.2424</v>
      </c>
      <c r="C560" s="2">
        <v>0.6</v>
      </c>
      <c r="D560" s="2">
        <v>0.1343</v>
      </c>
      <c r="E560" s="2">
        <v>6</v>
      </c>
      <c r="F560" s="2">
        <v>55</v>
      </c>
      <c r="G560" s="2">
        <v>61</v>
      </c>
      <c r="H560" s="4" t="str">
        <f>IF(Table13[[#This Row],[cnt]]&gt;100,"High","Low")</f>
        <v>Low</v>
      </c>
    </row>
    <row r="561" spans="1:8" ht="14.25" x14ac:dyDescent="0.2">
      <c r="A561" s="2">
        <v>560</v>
      </c>
      <c r="B561" s="2">
        <v>0.28789999999999999</v>
      </c>
      <c r="C561" s="2">
        <v>0.56000000000000005</v>
      </c>
      <c r="D561" s="2">
        <v>8.9599999999999999E-2</v>
      </c>
      <c r="E561" s="2">
        <v>21</v>
      </c>
      <c r="F561" s="2">
        <v>85</v>
      </c>
      <c r="G561" s="2">
        <v>106</v>
      </c>
      <c r="H561" s="4" t="str">
        <f>IF(Table13[[#This Row],[cnt]]&gt;100,"High","Low")</f>
        <v>High</v>
      </c>
    </row>
    <row r="562" spans="1:8" ht="14.25" x14ac:dyDescent="0.2">
      <c r="A562" s="2">
        <v>561</v>
      </c>
      <c r="B562" s="2">
        <v>0.2727</v>
      </c>
      <c r="C562" s="2">
        <v>0.56000000000000005</v>
      </c>
      <c r="D562" s="2">
        <v>0.1343</v>
      </c>
      <c r="E562" s="2">
        <v>21</v>
      </c>
      <c r="F562" s="2">
        <v>72</v>
      </c>
      <c r="G562" s="2">
        <v>93</v>
      </c>
      <c r="H562" s="4" t="str">
        <f>IF(Table13[[#This Row],[cnt]]&gt;100,"High","Low")</f>
        <v>Low</v>
      </c>
    </row>
    <row r="563" spans="1:8" ht="14.25" x14ac:dyDescent="0.2">
      <c r="A563" s="2">
        <v>562</v>
      </c>
      <c r="B563" s="2">
        <v>0.33329999999999999</v>
      </c>
      <c r="C563" s="2">
        <v>0.45</v>
      </c>
      <c r="D563" s="2">
        <v>0</v>
      </c>
      <c r="E563" s="2">
        <v>11</v>
      </c>
      <c r="F563" s="2">
        <v>57</v>
      </c>
      <c r="G563" s="2">
        <v>68</v>
      </c>
      <c r="H563" s="4" t="str">
        <f>IF(Table13[[#This Row],[cnt]]&gt;100,"High","Low")</f>
        <v>Low</v>
      </c>
    </row>
    <row r="564" spans="1:8" ht="14.25" x14ac:dyDescent="0.2">
      <c r="A564" s="2">
        <v>563</v>
      </c>
      <c r="B564" s="2">
        <v>0.34849999999999998</v>
      </c>
      <c r="C564" s="2">
        <v>0.42</v>
      </c>
      <c r="D564" s="2">
        <v>0</v>
      </c>
      <c r="E564" s="2">
        <v>21</v>
      </c>
      <c r="F564" s="2">
        <v>63</v>
      </c>
      <c r="G564" s="2">
        <v>84</v>
      </c>
      <c r="H564" s="4" t="str">
        <f>IF(Table13[[#This Row],[cnt]]&gt;100,"High","Low")</f>
        <v>Low</v>
      </c>
    </row>
    <row r="565" spans="1:8" ht="14.25" x14ac:dyDescent="0.2">
      <c r="A565" s="2">
        <v>564</v>
      </c>
      <c r="B565" s="2">
        <v>0.34849999999999998</v>
      </c>
      <c r="C565" s="2">
        <v>0.42</v>
      </c>
      <c r="D565" s="2">
        <v>0</v>
      </c>
      <c r="E565" s="2">
        <v>14</v>
      </c>
      <c r="F565" s="2">
        <v>102</v>
      </c>
      <c r="G565" s="2">
        <v>116</v>
      </c>
      <c r="H565" s="4" t="str">
        <f>IF(Table13[[#This Row],[cnt]]&gt;100,"High","Low")</f>
        <v>High</v>
      </c>
    </row>
    <row r="566" spans="1:8" ht="14.25" x14ac:dyDescent="0.2">
      <c r="A566" s="2">
        <v>565</v>
      </c>
      <c r="B566" s="2">
        <v>0.33329999999999999</v>
      </c>
      <c r="C566" s="2">
        <v>0.45</v>
      </c>
      <c r="D566" s="2">
        <v>0</v>
      </c>
      <c r="E566" s="2">
        <v>14</v>
      </c>
      <c r="F566" s="2">
        <v>208</v>
      </c>
      <c r="G566" s="2">
        <v>222</v>
      </c>
      <c r="H566" s="4" t="str">
        <f>IF(Table13[[#This Row],[cnt]]&gt;100,"High","Low")</f>
        <v>High</v>
      </c>
    </row>
    <row r="567" spans="1:8" ht="14.25" x14ac:dyDescent="0.2">
      <c r="A567" s="2">
        <v>566</v>
      </c>
      <c r="B567" s="2">
        <v>0.31819999999999998</v>
      </c>
      <c r="C567" s="2">
        <v>0.49</v>
      </c>
      <c r="D567" s="2">
        <v>8.9599999999999999E-2</v>
      </c>
      <c r="E567" s="2">
        <v>7</v>
      </c>
      <c r="F567" s="2">
        <v>218</v>
      </c>
      <c r="G567" s="2">
        <v>225</v>
      </c>
      <c r="H567" s="4" t="str">
        <f>IF(Table13[[#This Row],[cnt]]&gt;100,"High","Low")</f>
        <v>High</v>
      </c>
    </row>
    <row r="568" spans="1:8" ht="14.25" x14ac:dyDescent="0.2">
      <c r="A568" s="2">
        <v>567</v>
      </c>
      <c r="B568" s="2">
        <v>0.2576</v>
      </c>
      <c r="C568" s="2">
        <v>0.65</v>
      </c>
      <c r="D568" s="2">
        <v>0.16420000000000001</v>
      </c>
      <c r="E568" s="2">
        <v>13</v>
      </c>
      <c r="F568" s="2">
        <v>133</v>
      </c>
      <c r="G568" s="2">
        <v>146</v>
      </c>
      <c r="H568" s="4" t="str">
        <f>IF(Table13[[#This Row],[cnt]]&gt;100,"High","Low")</f>
        <v>High</v>
      </c>
    </row>
    <row r="569" spans="1:8" ht="14.25" x14ac:dyDescent="0.2">
      <c r="A569" s="2">
        <v>568</v>
      </c>
      <c r="B569" s="2">
        <v>0.2273</v>
      </c>
      <c r="C569" s="2">
        <v>0.65</v>
      </c>
      <c r="D569" s="2">
        <v>0.19400000000000001</v>
      </c>
      <c r="E569" s="2">
        <v>16</v>
      </c>
      <c r="F569" s="2">
        <v>103</v>
      </c>
      <c r="G569" s="2">
        <v>119</v>
      </c>
      <c r="H569" s="4" t="str">
        <f>IF(Table13[[#This Row],[cnt]]&gt;100,"High","Low")</f>
        <v>High</v>
      </c>
    </row>
    <row r="570" spans="1:8" ht="14.25" x14ac:dyDescent="0.2">
      <c r="A570" s="2">
        <v>569</v>
      </c>
      <c r="B570" s="2">
        <v>0.2273</v>
      </c>
      <c r="C570" s="2">
        <v>0.65</v>
      </c>
      <c r="D570" s="2">
        <v>0.19400000000000001</v>
      </c>
      <c r="E570" s="2">
        <v>5</v>
      </c>
      <c r="F570" s="2">
        <v>40</v>
      </c>
      <c r="G570" s="2">
        <v>45</v>
      </c>
      <c r="H570" s="4" t="str">
        <f>IF(Table13[[#This Row],[cnt]]&gt;100,"High","Low")</f>
        <v>Low</v>
      </c>
    </row>
    <row r="571" spans="1:8" ht="14.25" x14ac:dyDescent="0.2">
      <c r="A571" s="2">
        <v>570</v>
      </c>
      <c r="B571" s="2">
        <v>0.2273</v>
      </c>
      <c r="C571" s="2">
        <v>0.64</v>
      </c>
      <c r="D571" s="2">
        <v>0.16420000000000001</v>
      </c>
      <c r="E571" s="2">
        <v>4</v>
      </c>
      <c r="F571" s="2">
        <v>49</v>
      </c>
      <c r="G571" s="2">
        <v>53</v>
      </c>
      <c r="H571" s="4" t="str">
        <f>IF(Table13[[#This Row],[cnt]]&gt;100,"High","Low")</f>
        <v>Low</v>
      </c>
    </row>
    <row r="572" spans="1:8" ht="14.25" x14ac:dyDescent="0.2">
      <c r="A572" s="2">
        <v>571</v>
      </c>
      <c r="B572" s="2">
        <v>0.2273</v>
      </c>
      <c r="C572" s="2">
        <v>0.64</v>
      </c>
      <c r="D572" s="2">
        <v>0.16420000000000001</v>
      </c>
      <c r="E572" s="2">
        <v>3</v>
      </c>
      <c r="F572" s="2">
        <v>37</v>
      </c>
      <c r="G572" s="2">
        <v>40</v>
      </c>
      <c r="H572" s="4" t="str">
        <f>IF(Table13[[#This Row],[cnt]]&gt;100,"High","Low")</f>
        <v>Low</v>
      </c>
    </row>
    <row r="573" spans="1:8" ht="14.25" x14ac:dyDescent="0.2">
      <c r="A573" s="2">
        <v>572</v>
      </c>
      <c r="B573" s="2">
        <v>0.2273</v>
      </c>
      <c r="C573" s="2">
        <v>0.69</v>
      </c>
      <c r="D573" s="2">
        <v>0.1343</v>
      </c>
      <c r="E573" s="2">
        <v>3</v>
      </c>
      <c r="F573" s="2">
        <v>14</v>
      </c>
      <c r="G573" s="2">
        <v>17</v>
      </c>
      <c r="H573" s="4" t="str">
        <f>IF(Table13[[#This Row],[cnt]]&gt;100,"High","Low")</f>
        <v>Low</v>
      </c>
    </row>
    <row r="574" spans="1:8" ht="14.25" x14ac:dyDescent="0.2">
      <c r="A574" s="2">
        <v>573</v>
      </c>
      <c r="B574" s="2">
        <v>0.2424</v>
      </c>
      <c r="C574" s="2">
        <v>0.65</v>
      </c>
      <c r="D574" s="2">
        <v>0.1343</v>
      </c>
      <c r="E574" s="2">
        <v>0</v>
      </c>
      <c r="F574" s="2">
        <v>5</v>
      </c>
      <c r="G574" s="2">
        <v>5</v>
      </c>
      <c r="H574" s="4" t="str">
        <f>IF(Table13[[#This Row],[cnt]]&gt;100,"High","Low")</f>
        <v>Low</v>
      </c>
    </row>
    <row r="575" spans="1:8" ht="14.25" x14ac:dyDescent="0.2">
      <c r="A575" s="2">
        <v>574</v>
      </c>
      <c r="B575" s="2">
        <v>0.2273</v>
      </c>
      <c r="C575" s="2">
        <v>0.69</v>
      </c>
      <c r="D575" s="2">
        <v>0.19400000000000001</v>
      </c>
      <c r="E575" s="2">
        <v>3</v>
      </c>
      <c r="F575" s="2">
        <v>7</v>
      </c>
      <c r="G575" s="2">
        <v>10</v>
      </c>
      <c r="H575" s="4" t="str">
        <f>IF(Table13[[#This Row],[cnt]]&gt;100,"High","Low")</f>
        <v>Low</v>
      </c>
    </row>
    <row r="576" spans="1:8" ht="14.25" x14ac:dyDescent="0.2">
      <c r="A576" s="2">
        <v>575</v>
      </c>
      <c r="B576" s="2">
        <v>0.18179999999999999</v>
      </c>
      <c r="C576" s="2">
        <v>0.86</v>
      </c>
      <c r="D576" s="2">
        <v>0.28360000000000002</v>
      </c>
      <c r="E576" s="2">
        <v>0</v>
      </c>
      <c r="F576" s="2">
        <v>1</v>
      </c>
      <c r="G576" s="2">
        <v>1</v>
      </c>
      <c r="H576" s="4" t="str">
        <f>IF(Table13[[#This Row],[cnt]]&gt;100,"High","Low")</f>
        <v>Low</v>
      </c>
    </row>
    <row r="577" spans="1:8" ht="14.25" x14ac:dyDescent="0.2">
      <c r="A577" s="2">
        <v>576</v>
      </c>
      <c r="B577" s="2">
        <v>0.18179999999999999</v>
      </c>
      <c r="C577" s="2">
        <v>0.86</v>
      </c>
      <c r="D577" s="2">
        <v>0.28360000000000002</v>
      </c>
      <c r="E577" s="2">
        <v>0</v>
      </c>
      <c r="F577" s="2">
        <v>8</v>
      </c>
      <c r="G577" s="2">
        <v>8</v>
      </c>
      <c r="H577" s="4" t="str">
        <f>IF(Table13[[#This Row],[cnt]]&gt;100,"High","Low")</f>
        <v>Low</v>
      </c>
    </row>
    <row r="578" spans="1:8" ht="14.25" x14ac:dyDescent="0.2">
      <c r="A578" s="2">
        <v>577</v>
      </c>
      <c r="B578" s="2">
        <v>0.21210000000000001</v>
      </c>
      <c r="C578" s="2">
        <v>0.87</v>
      </c>
      <c r="D578" s="2">
        <v>0.29849999999999999</v>
      </c>
      <c r="E578" s="2">
        <v>1</v>
      </c>
      <c r="F578" s="2">
        <v>29</v>
      </c>
      <c r="G578" s="2">
        <v>30</v>
      </c>
      <c r="H578" s="4" t="str">
        <f>IF(Table13[[#This Row],[cnt]]&gt;100,"High","Low")</f>
        <v>Low</v>
      </c>
    </row>
    <row r="579" spans="1:8" ht="14.25" x14ac:dyDescent="0.2">
      <c r="A579" s="2">
        <v>578</v>
      </c>
      <c r="B579" s="2">
        <v>0.21210000000000001</v>
      </c>
      <c r="C579" s="2">
        <v>0.87</v>
      </c>
      <c r="D579" s="2">
        <v>0.29849999999999999</v>
      </c>
      <c r="E579" s="2">
        <v>3</v>
      </c>
      <c r="F579" s="2">
        <v>69</v>
      </c>
      <c r="G579" s="2">
        <v>72</v>
      </c>
      <c r="H579" s="4" t="str">
        <f>IF(Table13[[#This Row],[cnt]]&gt;100,"High","Low")</f>
        <v>Low</v>
      </c>
    </row>
    <row r="580" spans="1:8" ht="14.25" x14ac:dyDescent="0.2">
      <c r="A580" s="2">
        <v>579</v>
      </c>
      <c r="B580" s="2">
        <v>0.21210000000000001</v>
      </c>
      <c r="C580" s="2">
        <v>0.87</v>
      </c>
      <c r="D580" s="2">
        <v>0.29849999999999999</v>
      </c>
      <c r="E580" s="2">
        <v>3</v>
      </c>
      <c r="F580" s="2">
        <v>55</v>
      </c>
      <c r="G580" s="2">
        <v>58</v>
      </c>
      <c r="H580" s="4" t="str">
        <f>IF(Table13[[#This Row],[cnt]]&gt;100,"High","Low")</f>
        <v>Low</v>
      </c>
    </row>
    <row r="581" spans="1:8" ht="14.25" x14ac:dyDescent="0.2">
      <c r="A581" s="2">
        <v>580</v>
      </c>
      <c r="B581" s="2">
        <v>0.21210000000000001</v>
      </c>
      <c r="C581" s="2">
        <v>0.93</v>
      </c>
      <c r="D581" s="2">
        <v>0.28360000000000002</v>
      </c>
      <c r="E581" s="2">
        <v>2</v>
      </c>
      <c r="F581" s="2">
        <v>26</v>
      </c>
      <c r="G581" s="2">
        <v>28</v>
      </c>
      <c r="H581" s="4" t="str">
        <f>IF(Table13[[#This Row],[cnt]]&gt;100,"High","Low")</f>
        <v>Low</v>
      </c>
    </row>
    <row r="582" spans="1:8" ht="14.25" x14ac:dyDescent="0.2">
      <c r="A582" s="2">
        <v>581</v>
      </c>
      <c r="B582" s="2">
        <v>0.19700000000000001</v>
      </c>
      <c r="C582" s="2">
        <v>0.93</v>
      </c>
      <c r="D582" s="2">
        <v>0.32840000000000003</v>
      </c>
      <c r="E582" s="2">
        <v>6</v>
      </c>
      <c r="F582" s="2">
        <v>35</v>
      </c>
      <c r="G582" s="2">
        <v>41</v>
      </c>
      <c r="H582" s="4" t="str">
        <f>IF(Table13[[#This Row],[cnt]]&gt;100,"High","Low")</f>
        <v>Low</v>
      </c>
    </row>
    <row r="583" spans="1:8" ht="14.25" x14ac:dyDescent="0.2">
      <c r="A583" s="2">
        <v>582</v>
      </c>
      <c r="B583" s="2">
        <v>0.19700000000000001</v>
      </c>
      <c r="C583" s="2">
        <v>0.93</v>
      </c>
      <c r="D583" s="2">
        <v>0.32840000000000003</v>
      </c>
      <c r="E583" s="2">
        <v>7</v>
      </c>
      <c r="F583" s="2">
        <v>41</v>
      </c>
      <c r="G583" s="2">
        <v>48</v>
      </c>
      <c r="H583" s="4" t="str">
        <f>IF(Table13[[#This Row],[cnt]]&gt;100,"High","Low")</f>
        <v>Low</v>
      </c>
    </row>
    <row r="584" spans="1:8" ht="14.25" x14ac:dyDescent="0.2">
      <c r="A584" s="2">
        <v>583</v>
      </c>
      <c r="B584" s="2">
        <v>0.19700000000000001</v>
      </c>
      <c r="C584" s="2">
        <v>0.93</v>
      </c>
      <c r="D584" s="2">
        <v>0.32840000000000003</v>
      </c>
      <c r="E584" s="2">
        <v>4</v>
      </c>
      <c r="F584" s="2">
        <v>43</v>
      </c>
      <c r="G584" s="2">
        <v>47</v>
      </c>
      <c r="H584" s="4" t="str">
        <f>IF(Table13[[#This Row],[cnt]]&gt;100,"High","Low")</f>
        <v>Low</v>
      </c>
    </row>
    <row r="585" spans="1:8" ht="14.25" x14ac:dyDescent="0.2">
      <c r="A585" s="2">
        <v>584</v>
      </c>
      <c r="B585" s="2">
        <v>0.19700000000000001</v>
      </c>
      <c r="C585" s="2">
        <v>0.93</v>
      </c>
      <c r="D585" s="2">
        <v>0.35820000000000002</v>
      </c>
      <c r="E585" s="2">
        <v>0</v>
      </c>
      <c r="F585" s="2">
        <v>36</v>
      </c>
      <c r="G585" s="2">
        <v>36</v>
      </c>
      <c r="H585" s="4" t="str">
        <f>IF(Table13[[#This Row],[cnt]]&gt;100,"High","Low")</f>
        <v>Low</v>
      </c>
    </row>
    <row r="586" spans="1:8" ht="14.25" x14ac:dyDescent="0.2">
      <c r="A586" s="2">
        <v>585</v>
      </c>
      <c r="B586" s="2">
        <v>0.18179999999999999</v>
      </c>
      <c r="C586" s="2">
        <v>0.93</v>
      </c>
      <c r="D586" s="2">
        <v>0.4627</v>
      </c>
      <c r="E586" s="2">
        <v>1</v>
      </c>
      <c r="F586" s="2">
        <v>42</v>
      </c>
      <c r="G586" s="2">
        <v>43</v>
      </c>
      <c r="H586" s="4" t="str">
        <f>IF(Table13[[#This Row],[cnt]]&gt;100,"High","Low")</f>
        <v>Low</v>
      </c>
    </row>
    <row r="587" spans="1:8" ht="14.25" x14ac:dyDescent="0.2">
      <c r="A587" s="2">
        <v>586</v>
      </c>
      <c r="B587" s="2">
        <v>0.19700000000000001</v>
      </c>
      <c r="C587" s="2">
        <v>0.93</v>
      </c>
      <c r="D587" s="2">
        <v>0.32840000000000003</v>
      </c>
      <c r="E587" s="2">
        <v>1</v>
      </c>
      <c r="F587" s="2">
        <v>35</v>
      </c>
      <c r="G587" s="2">
        <v>36</v>
      </c>
      <c r="H587" s="4" t="str">
        <f>IF(Table13[[#This Row],[cnt]]&gt;100,"High","Low")</f>
        <v>Low</v>
      </c>
    </row>
    <row r="588" spans="1:8" ht="14.25" x14ac:dyDescent="0.2">
      <c r="A588" s="2">
        <v>587</v>
      </c>
      <c r="B588" s="2">
        <v>0.18179999999999999</v>
      </c>
      <c r="C588" s="2">
        <v>0.93</v>
      </c>
      <c r="D588" s="2">
        <v>0.35820000000000002</v>
      </c>
      <c r="E588" s="2">
        <v>0</v>
      </c>
      <c r="F588" s="2">
        <v>26</v>
      </c>
      <c r="G588" s="2">
        <v>26</v>
      </c>
      <c r="H588" s="4" t="str">
        <f>IF(Table13[[#This Row],[cnt]]&gt;100,"High","Low")</f>
        <v>Low</v>
      </c>
    </row>
    <row r="589" spans="1:8" ht="14.25" x14ac:dyDescent="0.2">
      <c r="A589" s="2">
        <v>588</v>
      </c>
      <c r="B589" s="2">
        <v>0.2273</v>
      </c>
      <c r="C589" s="2">
        <v>0.55000000000000004</v>
      </c>
      <c r="D589" s="2">
        <v>0.19400000000000001</v>
      </c>
      <c r="E589" s="2">
        <v>1</v>
      </c>
      <c r="F589" s="2">
        <v>23</v>
      </c>
      <c r="G589" s="2">
        <v>24</v>
      </c>
      <c r="H589" s="4" t="str">
        <f>IF(Table13[[#This Row],[cnt]]&gt;100,"High","Low")</f>
        <v>Low</v>
      </c>
    </row>
    <row r="590" spans="1:8" ht="14.25" x14ac:dyDescent="0.2">
      <c r="A590" s="2">
        <v>589</v>
      </c>
      <c r="B590" s="2">
        <v>0.2424</v>
      </c>
      <c r="C590" s="2">
        <v>0.55000000000000004</v>
      </c>
      <c r="D590" s="2">
        <v>0.1045</v>
      </c>
      <c r="E590" s="2">
        <v>2</v>
      </c>
      <c r="F590" s="2">
        <v>82</v>
      </c>
      <c r="G590" s="2">
        <v>84</v>
      </c>
      <c r="H590" s="4" t="str">
        <f>IF(Table13[[#This Row],[cnt]]&gt;100,"High","Low")</f>
        <v>Low</v>
      </c>
    </row>
    <row r="591" spans="1:8" ht="14.25" x14ac:dyDescent="0.2">
      <c r="A591" s="2">
        <v>590</v>
      </c>
      <c r="B591" s="2">
        <v>0.2273</v>
      </c>
      <c r="C591" s="2">
        <v>0.69</v>
      </c>
      <c r="D591" s="2">
        <v>8.9599999999999999E-2</v>
      </c>
      <c r="E591" s="2">
        <v>3</v>
      </c>
      <c r="F591" s="2">
        <v>101</v>
      </c>
      <c r="G591" s="2">
        <v>104</v>
      </c>
      <c r="H591" s="4" t="str">
        <f>IF(Table13[[#This Row],[cnt]]&gt;100,"High","Low")</f>
        <v>High</v>
      </c>
    </row>
    <row r="592" spans="1:8" ht="14.25" x14ac:dyDescent="0.2">
      <c r="A592" s="2">
        <v>591</v>
      </c>
      <c r="B592" s="2">
        <v>0.2273</v>
      </c>
      <c r="C592" s="2">
        <v>0.69</v>
      </c>
      <c r="D592" s="2">
        <v>8.9599999999999999E-2</v>
      </c>
      <c r="E592" s="2">
        <v>3</v>
      </c>
      <c r="F592" s="2">
        <v>76</v>
      </c>
      <c r="G592" s="2">
        <v>79</v>
      </c>
      <c r="H592" s="4" t="str">
        <f>IF(Table13[[#This Row],[cnt]]&gt;100,"High","Low")</f>
        <v>Low</v>
      </c>
    </row>
    <row r="593" spans="1:8" ht="14.25" x14ac:dyDescent="0.2">
      <c r="A593" s="2">
        <v>592</v>
      </c>
      <c r="B593" s="2">
        <v>0.21210000000000001</v>
      </c>
      <c r="C593" s="2">
        <v>0.74</v>
      </c>
      <c r="D593" s="2">
        <v>8.9599999999999999E-2</v>
      </c>
      <c r="E593" s="2">
        <v>4</v>
      </c>
      <c r="F593" s="2">
        <v>55</v>
      </c>
      <c r="G593" s="2">
        <v>59</v>
      </c>
      <c r="H593" s="4" t="str">
        <f>IF(Table13[[#This Row],[cnt]]&gt;100,"High","Low")</f>
        <v>Low</v>
      </c>
    </row>
    <row r="594" spans="1:8" ht="14.25" x14ac:dyDescent="0.2">
      <c r="A594" s="2">
        <v>593</v>
      </c>
      <c r="B594" s="2">
        <v>0.21210000000000001</v>
      </c>
      <c r="C594" s="2">
        <v>0.74</v>
      </c>
      <c r="D594" s="2">
        <v>8.9599999999999999E-2</v>
      </c>
      <c r="E594" s="2">
        <v>2</v>
      </c>
      <c r="F594" s="2">
        <v>36</v>
      </c>
      <c r="G594" s="2">
        <v>38</v>
      </c>
      <c r="H594" s="4" t="str">
        <f>IF(Table13[[#This Row],[cnt]]&gt;100,"High","Low")</f>
        <v>Low</v>
      </c>
    </row>
    <row r="595" spans="1:8" ht="14.25" x14ac:dyDescent="0.2">
      <c r="A595" s="2">
        <v>594</v>
      </c>
      <c r="B595" s="2">
        <v>0.21210000000000001</v>
      </c>
      <c r="C595" s="2">
        <v>0.74</v>
      </c>
      <c r="D595" s="2">
        <v>8.9599999999999999E-2</v>
      </c>
      <c r="E595" s="2">
        <v>0</v>
      </c>
      <c r="F595" s="2">
        <v>27</v>
      </c>
      <c r="G595" s="2">
        <v>27</v>
      </c>
      <c r="H595" s="4" t="str">
        <f>IF(Table13[[#This Row],[cnt]]&gt;100,"High","Low")</f>
        <v>Low</v>
      </c>
    </row>
    <row r="596" spans="1:8" ht="14.25" x14ac:dyDescent="0.2">
      <c r="A596" s="2">
        <v>595</v>
      </c>
      <c r="B596" s="2">
        <v>0.19700000000000001</v>
      </c>
      <c r="C596" s="2">
        <v>0.8</v>
      </c>
      <c r="D596" s="2">
        <v>0.16420000000000001</v>
      </c>
      <c r="E596" s="2">
        <v>0</v>
      </c>
      <c r="F596" s="2">
        <v>16</v>
      </c>
      <c r="G596" s="2">
        <v>16</v>
      </c>
      <c r="H596" s="4" t="str">
        <f>IF(Table13[[#This Row],[cnt]]&gt;100,"High","Low")</f>
        <v>Low</v>
      </c>
    </row>
    <row r="597" spans="1:8" ht="14.25" x14ac:dyDescent="0.2">
      <c r="A597" s="2">
        <v>596</v>
      </c>
      <c r="B597" s="2">
        <v>0.21210000000000001</v>
      </c>
      <c r="C597" s="2">
        <v>0.75</v>
      </c>
      <c r="D597" s="2">
        <v>0.1343</v>
      </c>
      <c r="E597" s="2">
        <v>0</v>
      </c>
      <c r="F597" s="2">
        <v>9</v>
      </c>
      <c r="G597" s="2">
        <v>9</v>
      </c>
      <c r="H597" s="4" t="str">
        <f>IF(Table13[[#This Row],[cnt]]&gt;100,"High","Low")</f>
        <v>Low</v>
      </c>
    </row>
    <row r="598" spans="1:8" ht="14.25" x14ac:dyDescent="0.2">
      <c r="A598" s="2">
        <v>597</v>
      </c>
      <c r="B598" s="2">
        <v>0.21210000000000001</v>
      </c>
      <c r="C598" s="2">
        <v>0.75</v>
      </c>
      <c r="D598" s="2">
        <v>0.1343</v>
      </c>
      <c r="E598" s="2">
        <v>1</v>
      </c>
      <c r="F598" s="2">
        <v>2</v>
      </c>
      <c r="G598" s="2">
        <v>3</v>
      </c>
      <c r="H598" s="4" t="str">
        <f>IF(Table13[[#This Row],[cnt]]&gt;100,"High","Low")</f>
        <v>Low</v>
      </c>
    </row>
    <row r="599" spans="1:8" ht="14.25" x14ac:dyDescent="0.2">
      <c r="A599" s="2">
        <v>598</v>
      </c>
      <c r="B599" s="2">
        <v>0.21210000000000001</v>
      </c>
      <c r="C599" s="2">
        <v>0.75</v>
      </c>
      <c r="D599" s="2">
        <v>0.16420000000000001</v>
      </c>
      <c r="E599" s="2">
        <v>0</v>
      </c>
      <c r="F599" s="2">
        <v>2</v>
      </c>
      <c r="G599" s="2">
        <v>2</v>
      </c>
      <c r="H599" s="4" t="str">
        <f>IF(Table13[[#This Row],[cnt]]&gt;100,"High","Low")</f>
        <v>Low</v>
      </c>
    </row>
    <row r="600" spans="1:8" ht="14.25" x14ac:dyDescent="0.2">
      <c r="A600" s="2">
        <v>599</v>
      </c>
      <c r="B600" s="2">
        <v>0.2273</v>
      </c>
      <c r="C600" s="2">
        <v>0.75</v>
      </c>
      <c r="D600" s="2">
        <v>0.1045</v>
      </c>
      <c r="E600" s="2">
        <v>1</v>
      </c>
      <c r="F600" s="2">
        <v>0</v>
      </c>
      <c r="G600" s="2">
        <v>1</v>
      </c>
      <c r="H600" s="4" t="str">
        <f>IF(Table13[[#This Row],[cnt]]&gt;100,"High","Low")</f>
        <v>Low</v>
      </c>
    </row>
    <row r="601" spans="1:8" ht="14.25" x14ac:dyDescent="0.2">
      <c r="A601" s="2">
        <v>600</v>
      </c>
      <c r="B601" s="2">
        <v>0.21210000000000001</v>
      </c>
      <c r="C601" s="2">
        <v>0.8</v>
      </c>
      <c r="D601" s="2">
        <v>0.1045</v>
      </c>
      <c r="E601" s="2">
        <v>0</v>
      </c>
      <c r="F601" s="2">
        <v>4</v>
      </c>
      <c r="G601" s="2">
        <v>4</v>
      </c>
      <c r="H601" s="4" t="str">
        <f>IF(Table13[[#This Row],[cnt]]&gt;100,"High","Low")</f>
        <v>Low</v>
      </c>
    </row>
    <row r="602" spans="1:8" ht="14.25" x14ac:dyDescent="0.2">
      <c r="A602" s="2">
        <v>601</v>
      </c>
      <c r="B602" s="2">
        <v>0.19700000000000001</v>
      </c>
      <c r="C602" s="2">
        <v>0.8</v>
      </c>
      <c r="D602" s="2">
        <v>0.1343</v>
      </c>
      <c r="E602" s="2">
        <v>0</v>
      </c>
      <c r="F602" s="2">
        <v>16</v>
      </c>
      <c r="G602" s="2">
        <v>16</v>
      </c>
      <c r="H602" s="4" t="str">
        <f>IF(Table13[[#This Row],[cnt]]&gt;100,"High","Low")</f>
        <v>Low</v>
      </c>
    </row>
    <row r="603" spans="1:8" ht="14.25" x14ac:dyDescent="0.2">
      <c r="A603" s="2">
        <v>602</v>
      </c>
      <c r="B603" s="2">
        <v>0.19700000000000001</v>
      </c>
      <c r="C603" s="2">
        <v>0.86</v>
      </c>
      <c r="D603" s="2">
        <v>8.9599999999999999E-2</v>
      </c>
      <c r="E603" s="2">
        <v>2</v>
      </c>
      <c r="F603" s="2">
        <v>58</v>
      </c>
      <c r="G603" s="2">
        <v>60</v>
      </c>
      <c r="H603" s="4" t="str">
        <f>IF(Table13[[#This Row],[cnt]]&gt;100,"High","Low")</f>
        <v>Low</v>
      </c>
    </row>
    <row r="604" spans="1:8" ht="14.25" x14ac:dyDescent="0.2">
      <c r="A604" s="2">
        <v>603</v>
      </c>
      <c r="B604" s="2">
        <v>0.19700000000000001</v>
      </c>
      <c r="C604" s="2">
        <v>0.86</v>
      </c>
      <c r="D604" s="2">
        <v>8.9599999999999999E-2</v>
      </c>
      <c r="E604" s="2">
        <v>2</v>
      </c>
      <c r="F604" s="2">
        <v>155</v>
      </c>
      <c r="G604" s="2">
        <v>157</v>
      </c>
      <c r="H604" s="4" t="str">
        <f>IF(Table13[[#This Row],[cnt]]&gt;100,"High","Low")</f>
        <v>High</v>
      </c>
    </row>
    <row r="605" spans="1:8" ht="14.25" x14ac:dyDescent="0.2">
      <c r="A605" s="2">
        <v>604</v>
      </c>
      <c r="B605" s="2">
        <v>0.21210000000000001</v>
      </c>
      <c r="C605" s="2">
        <v>0.86</v>
      </c>
      <c r="D605" s="2">
        <v>8.9599999999999999E-2</v>
      </c>
      <c r="E605" s="2">
        <v>6</v>
      </c>
      <c r="F605" s="2">
        <v>95</v>
      </c>
      <c r="G605" s="2">
        <v>101</v>
      </c>
      <c r="H605" s="4" t="str">
        <f>IF(Table13[[#This Row],[cnt]]&gt;100,"High","Low")</f>
        <v>High</v>
      </c>
    </row>
    <row r="606" spans="1:8" ht="14.25" x14ac:dyDescent="0.2">
      <c r="A606" s="2">
        <v>605</v>
      </c>
      <c r="B606" s="2">
        <v>0.21210000000000001</v>
      </c>
      <c r="C606" s="2">
        <v>0.86</v>
      </c>
      <c r="D606" s="2">
        <v>0.1045</v>
      </c>
      <c r="E606" s="2">
        <v>0</v>
      </c>
      <c r="F606" s="2">
        <v>49</v>
      </c>
      <c r="G606" s="2">
        <v>49</v>
      </c>
      <c r="H606" s="4" t="str">
        <f>IF(Table13[[#This Row],[cnt]]&gt;100,"High","Low")</f>
        <v>Low</v>
      </c>
    </row>
    <row r="607" spans="1:8" ht="14.25" x14ac:dyDescent="0.2">
      <c r="A607" s="2">
        <v>606</v>
      </c>
      <c r="B607" s="2">
        <v>0.21210000000000001</v>
      </c>
      <c r="C607" s="2">
        <v>0.93</v>
      </c>
      <c r="D607" s="2">
        <v>0.1045</v>
      </c>
      <c r="E607" s="2">
        <v>0</v>
      </c>
      <c r="F607" s="2">
        <v>30</v>
      </c>
      <c r="G607" s="2">
        <v>30</v>
      </c>
      <c r="H607" s="4" t="str">
        <f>IF(Table13[[#This Row],[cnt]]&gt;100,"High","Low")</f>
        <v>Low</v>
      </c>
    </row>
    <row r="608" spans="1:8" ht="14.25" x14ac:dyDescent="0.2">
      <c r="A608" s="2">
        <v>607</v>
      </c>
      <c r="B608" s="2">
        <v>0.21210000000000001</v>
      </c>
      <c r="C608" s="2">
        <v>0.93</v>
      </c>
      <c r="D608" s="2">
        <v>0.1045</v>
      </c>
      <c r="E608" s="2">
        <v>1</v>
      </c>
      <c r="F608" s="2">
        <v>28</v>
      </c>
      <c r="G608" s="2">
        <v>29</v>
      </c>
      <c r="H608" s="4" t="str">
        <f>IF(Table13[[#This Row],[cnt]]&gt;100,"High","Low")</f>
        <v>Low</v>
      </c>
    </row>
    <row r="609" spans="1:8" ht="14.25" x14ac:dyDescent="0.2">
      <c r="A609" s="2">
        <v>608</v>
      </c>
      <c r="B609" s="2">
        <v>0.21210000000000001</v>
      </c>
      <c r="C609" s="2">
        <v>0.93</v>
      </c>
      <c r="D609" s="2">
        <v>0.1045</v>
      </c>
      <c r="E609" s="2">
        <v>0</v>
      </c>
      <c r="F609" s="2">
        <v>31</v>
      </c>
      <c r="G609" s="2">
        <v>31</v>
      </c>
      <c r="H609" s="4" t="str">
        <f>IF(Table13[[#This Row],[cnt]]&gt;100,"High","Low")</f>
        <v>Low</v>
      </c>
    </row>
    <row r="610" spans="1:8" ht="14.25" x14ac:dyDescent="0.2">
      <c r="A610" s="2">
        <v>609</v>
      </c>
      <c r="B610" s="2">
        <v>0.2727</v>
      </c>
      <c r="C610" s="2">
        <v>0.8</v>
      </c>
      <c r="D610" s="2">
        <v>0</v>
      </c>
      <c r="E610" s="2">
        <v>2</v>
      </c>
      <c r="F610" s="2">
        <v>36</v>
      </c>
      <c r="G610" s="2">
        <v>38</v>
      </c>
      <c r="H610" s="4" t="str">
        <f>IF(Table13[[#This Row],[cnt]]&gt;100,"High","Low")</f>
        <v>Low</v>
      </c>
    </row>
    <row r="611" spans="1:8" ht="14.25" x14ac:dyDescent="0.2">
      <c r="A611" s="2">
        <v>610</v>
      </c>
      <c r="B611" s="2">
        <v>0.2576</v>
      </c>
      <c r="C611" s="2">
        <v>0.86</v>
      </c>
      <c r="D611" s="2">
        <v>0</v>
      </c>
      <c r="E611" s="2">
        <v>1</v>
      </c>
      <c r="F611" s="2">
        <v>40</v>
      </c>
      <c r="G611" s="2">
        <v>41</v>
      </c>
      <c r="H611" s="4" t="str">
        <f>IF(Table13[[#This Row],[cnt]]&gt;100,"High","Low")</f>
        <v>Low</v>
      </c>
    </row>
  </sheetData>
  <conditionalFormatting sqref="G2:G611">
    <cfRule type="cellIs" dxfId="3" priority="1" operator="lessThan">
      <formula>100</formula>
    </cfRule>
    <cfRule type="cellIs" dxfId="2" priority="2" operator="greaterThan">
      <formula>100</formula>
    </cfRule>
    <cfRule type="cellIs" dxfId="1" priority="4" operator="lessThan">
      <formula>80</formula>
    </cfRule>
    <cfRule type="cellIs" dxfId="0" priority="5" operator="greaterThan">
      <formula>80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18016-2612-4775-88CE-74E102E9F2FC}">
  <dimension ref="A1:B6"/>
  <sheetViews>
    <sheetView workbookViewId="0">
      <selection activeCell="C15" sqref="C15"/>
    </sheetView>
  </sheetViews>
  <sheetFormatPr defaultRowHeight="12.75" x14ac:dyDescent="0.2"/>
  <cols>
    <col min="1" max="1" width="13.85546875" bestFit="1" customWidth="1"/>
    <col min="2" max="2" width="23.28515625" bestFit="1" customWidth="1"/>
  </cols>
  <sheetData>
    <row r="1" spans="1:2" x14ac:dyDescent="0.2">
      <c r="A1" s="7" t="s">
        <v>31</v>
      </c>
      <c r="B1" t="s">
        <v>39</v>
      </c>
    </row>
    <row r="2" spans="1:2" x14ac:dyDescent="0.2">
      <c r="A2" s="8" t="s">
        <v>19</v>
      </c>
      <c r="B2">
        <v>21973</v>
      </c>
    </row>
    <row r="3" spans="1:2" x14ac:dyDescent="0.2">
      <c r="A3" s="8" t="s">
        <v>26</v>
      </c>
      <c r="B3">
        <v>36</v>
      </c>
    </row>
    <row r="4" spans="1:2" x14ac:dyDescent="0.2">
      <c r="A4" s="8" t="s">
        <v>21</v>
      </c>
      <c r="B4">
        <v>10426</v>
      </c>
    </row>
    <row r="5" spans="1:2" x14ac:dyDescent="0.2">
      <c r="A5" s="8" t="s">
        <v>24</v>
      </c>
      <c r="B5">
        <v>1463</v>
      </c>
    </row>
    <row r="6" spans="1:2" x14ac:dyDescent="0.2">
      <c r="A6" s="8" t="s">
        <v>38</v>
      </c>
      <c r="B6">
        <v>33898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28C7D-3C4D-419A-AB28-34D34D61431A}">
  <dimension ref="A1:B9"/>
  <sheetViews>
    <sheetView workbookViewId="0">
      <selection activeCell="M7" sqref="M7"/>
    </sheetView>
  </sheetViews>
  <sheetFormatPr defaultRowHeight="12.75" x14ac:dyDescent="0.2"/>
  <cols>
    <col min="1" max="1" width="13.85546875" bestFit="1" customWidth="1"/>
    <col min="2" max="2" width="23.28515625" bestFit="1" customWidth="1"/>
  </cols>
  <sheetData>
    <row r="1" spans="1:2" x14ac:dyDescent="0.2">
      <c r="A1" s="7" t="s">
        <v>31</v>
      </c>
      <c r="B1" t="s">
        <v>39</v>
      </c>
    </row>
    <row r="2" spans="1:2" x14ac:dyDescent="0.2">
      <c r="A2" s="8" t="s">
        <v>32</v>
      </c>
      <c r="B2">
        <v>5086</v>
      </c>
    </row>
    <row r="3" spans="1:2" x14ac:dyDescent="0.2">
      <c r="A3" s="8" t="s">
        <v>33</v>
      </c>
      <c r="B3">
        <v>5493</v>
      </c>
    </row>
    <row r="4" spans="1:2" x14ac:dyDescent="0.2">
      <c r="A4" s="8" t="s">
        <v>34</v>
      </c>
      <c r="B4">
        <v>4918</v>
      </c>
    </row>
    <row r="5" spans="1:2" x14ac:dyDescent="0.2">
      <c r="A5" s="8" t="s">
        <v>35</v>
      </c>
      <c r="B5">
        <v>5370</v>
      </c>
    </row>
    <row r="6" spans="1:2" x14ac:dyDescent="0.2">
      <c r="A6" s="8" t="s">
        <v>36</v>
      </c>
      <c r="B6">
        <v>5045</v>
      </c>
    </row>
    <row r="7" spans="1:2" x14ac:dyDescent="0.2">
      <c r="A7" s="8" t="s">
        <v>37</v>
      </c>
      <c r="B7">
        <v>4173</v>
      </c>
    </row>
    <row r="8" spans="1:2" x14ac:dyDescent="0.2">
      <c r="A8" s="8" t="s">
        <v>40</v>
      </c>
      <c r="B8">
        <v>3813</v>
      </c>
    </row>
    <row r="9" spans="1:2" x14ac:dyDescent="0.2">
      <c r="A9" s="8" t="s">
        <v>38</v>
      </c>
      <c r="B9">
        <v>33898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2B2BD-8764-4C6E-9DF2-03D2308EA14B}">
  <dimension ref="A1:B6"/>
  <sheetViews>
    <sheetView workbookViewId="0">
      <selection activeCell="C14" sqref="C14"/>
    </sheetView>
  </sheetViews>
  <sheetFormatPr defaultRowHeight="12.75" x14ac:dyDescent="0.2"/>
  <cols>
    <col min="1" max="1" width="13.85546875" bestFit="1" customWidth="1"/>
    <col min="2" max="2" width="23.28515625" bestFit="1" customWidth="1"/>
  </cols>
  <sheetData>
    <row r="1" spans="1:2" x14ac:dyDescent="0.2">
      <c r="A1" s="7" t="s">
        <v>31</v>
      </c>
      <c r="B1" t="s">
        <v>39</v>
      </c>
    </row>
    <row r="2" spans="1:2" x14ac:dyDescent="0.2">
      <c r="A2" s="8" t="s">
        <v>19</v>
      </c>
      <c r="B2">
        <v>21973</v>
      </c>
    </row>
    <row r="3" spans="1:2" x14ac:dyDescent="0.2">
      <c r="A3" s="8" t="s">
        <v>26</v>
      </c>
      <c r="B3">
        <v>36</v>
      </c>
    </row>
    <row r="4" spans="1:2" x14ac:dyDescent="0.2">
      <c r="A4" s="8" t="s">
        <v>21</v>
      </c>
      <c r="B4">
        <v>10426</v>
      </c>
    </row>
    <row r="5" spans="1:2" x14ac:dyDescent="0.2">
      <c r="A5" s="8" t="s">
        <v>24</v>
      </c>
      <c r="B5">
        <v>1463</v>
      </c>
    </row>
    <row r="6" spans="1:2" x14ac:dyDescent="0.2">
      <c r="A6" s="8" t="s">
        <v>38</v>
      </c>
      <c r="B6">
        <v>33898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07D63-B03E-4E81-8631-FD576E0F1A8A}">
  <dimension ref="A1:B25"/>
  <sheetViews>
    <sheetView workbookViewId="0">
      <selection activeCell="N16" sqref="N16"/>
    </sheetView>
  </sheetViews>
  <sheetFormatPr defaultRowHeight="12.75" x14ac:dyDescent="0.2"/>
  <cols>
    <col min="1" max="1" width="13.85546875" bestFit="1" customWidth="1"/>
    <col min="2" max="3" width="23.28515625" bestFit="1" customWidth="1"/>
  </cols>
  <sheetData>
    <row r="1" spans="1:2" x14ac:dyDescent="0.2">
      <c r="A1" s="7" t="s">
        <v>31</v>
      </c>
      <c r="B1" t="s">
        <v>39</v>
      </c>
    </row>
    <row r="2" spans="1:2" x14ac:dyDescent="0.2">
      <c r="A2" s="8">
        <v>0.02</v>
      </c>
      <c r="B2">
        <v>168</v>
      </c>
    </row>
    <row r="3" spans="1:2" x14ac:dyDescent="0.2">
      <c r="A3" s="8">
        <v>0.04</v>
      </c>
      <c r="B3">
        <v>387</v>
      </c>
    </row>
    <row r="4" spans="1:2" x14ac:dyDescent="0.2">
      <c r="A4" s="8">
        <v>0.06</v>
      </c>
      <c r="B4">
        <v>457</v>
      </c>
    </row>
    <row r="5" spans="1:2" x14ac:dyDescent="0.2">
      <c r="A5" s="8">
        <v>0.08</v>
      </c>
      <c r="B5">
        <v>276</v>
      </c>
    </row>
    <row r="6" spans="1:2" x14ac:dyDescent="0.2">
      <c r="A6" s="8">
        <v>0.1</v>
      </c>
      <c r="B6">
        <v>495</v>
      </c>
    </row>
    <row r="7" spans="1:2" x14ac:dyDescent="0.2">
      <c r="A7" s="8">
        <v>0.12</v>
      </c>
      <c r="B7">
        <v>1498</v>
      </c>
    </row>
    <row r="8" spans="1:2" x14ac:dyDescent="0.2">
      <c r="A8" s="8">
        <v>0.14000000000000001</v>
      </c>
      <c r="B8">
        <v>2788</v>
      </c>
    </row>
    <row r="9" spans="1:2" x14ac:dyDescent="0.2">
      <c r="A9" s="8">
        <v>0.16</v>
      </c>
      <c r="B9">
        <v>4164</v>
      </c>
    </row>
    <row r="10" spans="1:2" x14ac:dyDescent="0.2">
      <c r="A10" s="8">
        <v>0.18</v>
      </c>
      <c r="B10">
        <v>2583</v>
      </c>
    </row>
    <row r="11" spans="1:2" x14ac:dyDescent="0.2">
      <c r="A11" s="8">
        <v>0.2</v>
      </c>
      <c r="B11">
        <v>5935</v>
      </c>
    </row>
    <row r="12" spans="1:2" x14ac:dyDescent="0.2">
      <c r="A12" s="8">
        <v>0.22</v>
      </c>
      <c r="B12">
        <v>4362</v>
      </c>
    </row>
    <row r="13" spans="1:2" x14ac:dyDescent="0.2">
      <c r="A13" s="8">
        <v>0.24</v>
      </c>
      <c r="B13">
        <v>2726</v>
      </c>
    </row>
    <row r="14" spans="1:2" x14ac:dyDescent="0.2">
      <c r="A14" s="8">
        <v>0.26</v>
      </c>
      <c r="B14">
        <v>2110</v>
      </c>
    </row>
    <row r="15" spans="1:2" x14ac:dyDescent="0.2">
      <c r="A15" s="8">
        <v>0.28000000000000003</v>
      </c>
      <c r="B15">
        <v>890</v>
      </c>
    </row>
    <row r="16" spans="1:2" x14ac:dyDescent="0.2">
      <c r="A16" s="8">
        <v>0.3</v>
      </c>
      <c r="B16">
        <v>1733</v>
      </c>
    </row>
    <row r="17" spans="1:2" x14ac:dyDescent="0.2">
      <c r="A17" s="8">
        <v>0.32</v>
      </c>
      <c r="B17">
        <v>945</v>
      </c>
    </row>
    <row r="18" spans="1:2" x14ac:dyDescent="0.2">
      <c r="A18" s="8">
        <v>0.34</v>
      </c>
      <c r="B18">
        <v>504</v>
      </c>
    </row>
    <row r="19" spans="1:2" x14ac:dyDescent="0.2">
      <c r="A19" s="8">
        <v>0.36</v>
      </c>
      <c r="B19">
        <v>656</v>
      </c>
    </row>
    <row r="20" spans="1:2" x14ac:dyDescent="0.2">
      <c r="A20" s="8">
        <v>0.38</v>
      </c>
      <c r="B20">
        <v>160</v>
      </c>
    </row>
    <row r="21" spans="1:2" x14ac:dyDescent="0.2">
      <c r="A21" s="8">
        <v>0.4</v>
      </c>
      <c r="B21">
        <v>342</v>
      </c>
    </row>
    <row r="22" spans="1:2" x14ac:dyDescent="0.2">
      <c r="A22" s="8">
        <v>0.42</v>
      </c>
      <c r="B22">
        <v>260</v>
      </c>
    </row>
    <row r="23" spans="1:2" x14ac:dyDescent="0.2">
      <c r="A23" s="8">
        <v>0.44</v>
      </c>
      <c r="B23">
        <v>194</v>
      </c>
    </row>
    <row r="24" spans="1:2" x14ac:dyDescent="0.2">
      <c r="A24" s="8">
        <v>0.46</v>
      </c>
      <c r="B24">
        <v>265</v>
      </c>
    </row>
    <row r="25" spans="1:2" x14ac:dyDescent="0.2">
      <c r="A25" s="8" t="s">
        <v>38</v>
      </c>
      <c r="B25">
        <v>33898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60A31-7B67-4BF4-A1D0-063081675D43}">
  <dimension ref="A1:R611"/>
  <sheetViews>
    <sheetView tabSelected="1" zoomScale="95" workbookViewId="0">
      <selection activeCell="E13" sqref="E13"/>
    </sheetView>
  </sheetViews>
  <sheetFormatPr defaultRowHeight="12.75" x14ac:dyDescent="0.2"/>
  <cols>
    <col min="1" max="1" width="9.28515625" bestFit="1" customWidth="1"/>
    <col min="2" max="2" width="9.42578125" bestFit="1" customWidth="1"/>
    <col min="3" max="3" width="9.5703125" bestFit="1" customWidth="1"/>
    <col min="4" max="4" width="9.85546875" customWidth="1"/>
    <col min="5" max="5" width="10" bestFit="1" customWidth="1"/>
    <col min="6" max="6" width="11.42578125" bestFit="1" customWidth="1"/>
    <col min="7" max="7" width="12.7109375" bestFit="1" customWidth="1"/>
    <col min="8" max="8" width="7.85546875" bestFit="1" customWidth="1"/>
    <col min="9" max="9" width="10.42578125" bestFit="1" customWidth="1"/>
    <col min="10" max="10" width="15.7109375" bestFit="1" customWidth="1"/>
    <col min="11" max="11" width="14.7109375" bestFit="1" customWidth="1"/>
    <col min="12" max="12" width="9" bestFit="1" customWidth="1"/>
    <col min="13" max="13" width="14" customWidth="1"/>
    <col min="14" max="14" width="18" customWidth="1"/>
    <col min="15" max="15" width="20.140625" customWidth="1"/>
    <col min="16" max="16" width="18.85546875" customWidth="1"/>
    <col min="17" max="17" width="15.140625" customWidth="1"/>
    <col min="18" max="18" width="15.42578125" bestFit="1" customWidth="1"/>
    <col min="19" max="19" width="16.28515625" customWidth="1"/>
  </cols>
  <sheetData>
    <row r="1" spans="1:18" ht="14.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6" t="s">
        <v>7</v>
      </c>
      <c r="I1" t="s">
        <v>14</v>
      </c>
      <c r="J1" t="s">
        <v>16</v>
      </c>
      <c r="K1" t="s">
        <v>17</v>
      </c>
      <c r="L1" t="s">
        <v>9</v>
      </c>
      <c r="M1" s="6" t="s">
        <v>28</v>
      </c>
      <c r="N1" s="6" t="s">
        <v>29</v>
      </c>
      <c r="O1" s="6" t="s">
        <v>30</v>
      </c>
      <c r="P1" s="2" t="s">
        <v>8</v>
      </c>
      <c r="Q1" s="2" t="s">
        <v>10</v>
      </c>
      <c r="R1" s="6" t="s">
        <v>27</v>
      </c>
    </row>
    <row r="2" spans="1:18" ht="14.25" x14ac:dyDescent="0.2">
      <c r="A2">
        <v>1</v>
      </c>
      <c r="B2" s="5">
        <v>40544</v>
      </c>
      <c r="C2">
        <v>1</v>
      </c>
      <c r="D2">
        <v>0</v>
      </c>
      <c r="E2" t="b">
        <v>0</v>
      </c>
      <c r="F2">
        <v>6</v>
      </c>
      <c r="G2">
        <v>1</v>
      </c>
      <c r="H2">
        <v>0.24</v>
      </c>
      <c r="I2" t="s">
        <v>18</v>
      </c>
      <c r="J2" t="s">
        <v>19</v>
      </c>
      <c r="K2" t="s">
        <v>20</v>
      </c>
      <c r="L2">
        <v>0.81</v>
      </c>
      <c r="M2">
        <v>3</v>
      </c>
      <c r="N2">
        <v>13</v>
      </c>
      <c r="O2">
        <v>16</v>
      </c>
      <c r="P2" s="2">
        <v>0.28789999999999999</v>
      </c>
      <c r="Q2" s="2">
        <v>0</v>
      </c>
      <c r="R2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3" spans="1:18" ht="14.25" x14ac:dyDescent="0.2">
      <c r="A3">
        <v>2</v>
      </c>
      <c r="B3" s="5">
        <v>40544</v>
      </c>
      <c r="C3">
        <v>1</v>
      </c>
      <c r="D3">
        <v>1</v>
      </c>
      <c r="E3" t="b">
        <v>0</v>
      </c>
      <c r="F3">
        <v>6</v>
      </c>
      <c r="G3">
        <v>1</v>
      </c>
      <c r="H3">
        <v>0.22</v>
      </c>
      <c r="I3" t="s">
        <v>18</v>
      </c>
      <c r="J3" t="s">
        <v>19</v>
      </c>
      <c r="K3" t="s">
        <v>20</v>
      </c>
      <c r="L3">
        <v>0.8</v>
      </c>
      <c r="M3">
        <v>8</v>
      </c>
      <c r="N3">
        <v>32</v>
      </c>
      <c r="O3">
        <v>40</v>
      </c>
      <c r="P3" s="2">
        <v>0.2727</v>
      </c>
      <c r="Q3" s="2">
        <v>0</v>
      </c>
      <c r="R3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4" spans="1:18" ht="14.25" x14ac:dyDescent="0.2">
      <c r="A4">
        <v>3</v>
      </c>
      <c r="B4" s="5">
        <v>40544</v>
      </c>
      <c r="C4">
        <v>1</v>
      </c>
      <c r="D4">
        <v>2</v>
      </c>
      <c r="E4" t="b">
        <v>0</v>
      </c>
      <c r="F4">
        <v>6</v>
      </c>
      <c r="G4">
        <v>1</v>
      </c>
      <c r="H4">
        <v>0.22</v>
      </c>
      <c r="I4" t="s">
        <v>18</v>
      </c>
      <c r="J4" t="s">
        <v>19</v>
      </c>
      <c r="K4" t="s">
        <v>20</v>
      </c>
      <c r="L4">
        <v>0.8</v>
      </c>
      <c r="M4">
        <v>5</v>
      </c>
      <c r="N4">
        <v>27</v>
      </c>
      <c r="O4">
        <v>32</v>
      </c>
      <c r="P4" s="2">
        <v>0.2727</v>
      </c>
      <c r="Q4" s="2">
        <v>0</v>
      </c>
      <c r="R4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5" spans="1:18" ht="14.25" x14ac:dyDescent="0.2">
      <c r="A5">
        <v>4</v>
      </c>
      <c r="B5" s="5">
        <v>40544</v>
      </c>
      <c r="C5">
        <v>1</v>
      </c>
      <c r="D5">
        <v>3</v>
      </c>
      <c r="E5" t="b">
        <v>0</v>
      </c>
      <c r="F5">
        <v>6</v>
      </c>
      <c r="G5">
        <v>1</v>
      </c>
      <c r="H5">
        <v>0.24</v>
      </c>
      <c r="I5" t="s">
        <v>18</v>
      </c>
      <c r="J5" t="s">
        <v>19</v>
      </c>
      <c r="K5" t="s">
        <v>20</v>
      </c>
      <c r="L5">
        <v>0.75</v>
      </c>
      <c r="M5">
        <v>3</v>
      </c>
      <c r="N5">
        <v>10</v>
      </c>
      <c r="O5">
        <v>13</v>
      </c>
      <c r="P5" s="2">
        <v>0.28789999999999999</v>
      </c>
      <c r="Q5" s="2">
        <v>0</v>
      </c>
      <c r="R5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6" spans="1:18" ht="14.25" x14ac:dyDescent="0.2">
      <c r="A6">
        <v>5</v>
      </c>
      <c r="B6" s="5">
        <v>40544</v>
      </c>
      <c r="C6">
        <v>1</v>
      </c>
      <c r="D6">
        <v>4</v>
      </c>
      <c r="E6" t="b">
        <v>0</v>
      </c>
      <c r="F6">
        <v>6</v>
      </c>
      <c r="G6">
        <v>1</v>
      </c>
      <c r="H6">
        <v>0.24</v>
      </c>
      <c r="I6" t="s">
        <v>18</v>
      </c>
      <c r="J6" t="s">
        <v>19</v>
      </c>
      <c r="K6" t="s">
        <v>20</v>
      </c>
      <c r="L6">
        <v>0.75</v>
      </c>
      <c r="M6">
        <v>0</v>
      </c>
      <c r="N6">
        <v>1</v>
      </c>
      <c r="O6">
        <v>1</v>
      </c>
      <c r="P6" s="2">
        <v>0.28789999999999999</v>
      </c>
      <c r="Q6" s="2">
        <v>0</v>
      </c>
      <c r="R6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7" spans="1:18" ht="14.25" x14ac:dyDescent="0.2">
      <c r="A7">
        <v>6</v>
      </c>
      <c r="B7" s="5">
        <v>40544</v>
      </c>
      <c r="C7">
        <v>1</v>
      </c>
      <c r="D7">
        <v>5</v>
      </c>
      <c r="E7" t="b">
        <v>0</v>
      </c>
      <c r="F7">
        <v>6</v>
      </c>
      <c r="G7">
        <v>2</v>
      </c>
      <c r="H7">
        <v>0.24</v>
      </c>
      <c r="I7" t="s">
        <v>18</v>
      </c>
      <c r="J7" t="s">
        <v>21</v>
      </c>
      <c r="K7" t="s">
        <v>20</v>
      </c>
      <c r="L7">
        <v>0.75</v>
      </c>
      <c r="M7">
        <v>0</v>
      </c>
      <c r="N7">
        <v>1</v>
      </c>
      <c r="O7">
        <v>1</v>
      </c>
      <c r="P7" s="2">
        <v>0.2576</v>
      </c>
      <c r="Q7" s="2">
        <v>8.9599999999999999E-2</v>
      </c>
      <c r="R7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8" spans="1:18" ht="14.25" x14ac:dyDescent="0.2">
      <c r="A8">
        <v>7</v>
      </c>
      <c r="B8" s="5">
        <v>40544</v>
      </c>
      <c r="C8">
        <v>1</v>
      </c>
      <c r="D8">
        <v>6</v>
      </c>
      <c r="E8" t="b">
        <v>0</v>
      </c>
      <c r="F8">
        <v>6</v>
      </c>
      <c r="G8">
        <v>1</v>
      </c>
      <c r="H8">
        <v>0.22</v>
      </c>
      <c r="I8" t="s">
        <v>18</v>
      </c>
      <c r="J8" t="s">
        <v>19</v>
      </c>
      <c r="K8" t="s">
        <v>20</v>
      </c>
      <c r="L8">
        <v>0.8</v>
      </c>
      <c r="M8">
        <v>2</v>
      </c>
      <c r="N8">
        <v>0</v>
      </c>
      <c r="O8">
        <v>2</v>
      </c>
      <c r="P8" s="2">
        <v>0.2727</v>
      </c>
      <c r="Q8" s="2">
        <v>0</v>
      </c>
      <c r="R8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9" spans="1:18" ht="14.25" x14ac:dyDescent="0.2">
      <c r="A9">
        <v>8</v>
      </c>
      <c r="B9" s="5">
        <v>40544</v>
      </c>
      <c r="C9">
        <v>1</v>
      </c>
      <c r="D9">
        <v>7</v>
      </c>
      <c r="E9" t="b">
        <v>0</v>
      </c>
      <c r="F9">
        <v>6</v>
      </c>
      <c r="G9">
        <v>1</v>
      </c>
      <c r="H9">
        <v>0.2</v>
      </c>
      <c r="I9" t="s">
        <v>18</v>
      </c>
      <c r="J9" t="s">
        <v>19</v>
      </c>
      <c r="K9" t="s">
        <v>20</v>
      </c>
      <c r="L9">
        <v>0.86</v>
      </c>
      <c r="M9">
        <v>1</v>
      </c>
      <c r="N9">
        <v>2</v>
      </c>
      <c r="O9">
        <v>3</v>
      </c>
      <c r="P9" s="2">
        <v>0.2576</v>
      </c>
      <c r="Q9" s="2">
        <v>0</v>
      </c>
      <c r="R9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10" spans="1:18" ht="14.25" x14ac:dyDescent="0.2">
      <c r="A10">
        <v>9</v>
      </c>
      <c r="B10" s="5">
        <v>40544</v>
      </c>
      <c r="C10">
        <v>1</v>
      </c>
      <c r="D10">
        <v>8</v>
      </c>
      <c r="E10" t="b">
        <v>0</v>
      </c>
      <c r="F10">
        <v>6</v>
      </c>
      <c r="G10">
        <v>1</v>
      </c>
      <c r="H10">
        <v>0.24</v>
      </c>
      <c r="I10" t="s">
        <v>18</v>
      </c>
      <c r="J10" t="s">
        <v>19</v>
      </c>
      <c r="K10" t="s">
        <v>20</v>
      </c>
      <c r="L10">
        <v>0.75</v>
      </c>
      <c r="M10">
        <v>1</v>
      </c>
      <c r="N10">
        <v>7</v>
      </c>
      <c r="O10">
        <v>8</v>
      </c>
      <c r="P10" s="2">
        <v>0.19993</v>
      </c>
      <c r="Q10" s="2">
        <v>0</v>
      </c>
      <c r="R10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11" spans="1:18" ht="14.25" x14ac:dyDescent="0.2">
      <c r="A11">
        <v>10</v>
      </c>
      <c r="B11" s="5">
        <v>40544</v>
      </c>
      <c r="C11">
        <v>1</v>
      </c>
      <c r="D11">
        <v>9</v>
      </c>
      <c r="E11" t="b">
        <v>0</v>
      </c>
      <c r="F11">
        <v>6</v>
      </c>
      <c r="G11">
        <v>1</v>
      </c>
      <c r="H11">
        <v>0.32</v>
      </c>
      <c r="I11" t="s">
        <v>18</v>
      </c>
      <c r="J11" t="s">
        <v>19</v>
      </c>
      <c r="K11" t="s">
        <v>20</v>
      </c>
      <c r="L11">
        <v>0.76</v>
      </c>
      <c r="M11">
        <v>8</v>
      </c>
      <c r="N11">
        <v>6</v>
      </c>
      <c r="O11">
        <v>14</v>
      </c>
      <c r="P11" s="2">
        <v>0.34849999999999998</v>
      </c>
      <c r="Q11" s="2">
        <v>0</v>
      </c>
      <c r="R11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12" spans="1:18" ht="14.25" x14ac:dyDescent="0.2">
      <c r="A12">
        <v>11</v>
      </c>
      <c r="B12" s="5">
        <v>40544</v>
      </c>
      <c r="C12">
        <v>1</v>
      </c>
      <c r="D12">
        <v>10</v>
      </c>
      <c r="E12" t="b">
        <v>0</v>
      </c>
      <c r="F12">
        <v>6</v>
      </c>
      <c r="G12">
        <v>1</v>
      </c>
      <c r="H12">
        <v>0.38</v>
      </c>
      <c r="I12" t="s">
        <v>18</v>
      </c>
      <c r="J12" t="s">
        <v>19</v>
      </c>
      <c r="K12" t="s">
        <v>20</v>
      </c>
      <c r="L12">
        <v>0.76</v>
      </c>
      <c r="M12">
        <v>12</v>
      </c>
      <c r="N12">
        <v>24</v>
      </c>
      <c r="O12">
        <v>36</v>
      </c>
      <c r="P12" s="2">
        <v>0.39389999999999997</v>
      </c>
      <c r="Q12" s="2">
        <v>0.25369999999999998</v>
      </c>
      <c r="R12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13" spans="1:18" ht="14.25" x14ac:dyDescent="0.2">
      <c r="A13">
        <v>12</v>
      </c>
      <c r="B13" s="5">
        <v>40544</v>
      </c>
      <c r="C13">
        <v>1</v>
      </c>
      <c r="D13">
        <v>11</v>
      </c>
      <c r="E13" t="b">
        <v>0</v>
      </c>
      <c r="F13">
        <v>6</v>
      </c>
      <c r="G13">
        <v>1</v>
      </c>
      <c r="H13">
        <v>0.36</v>
      </c>
      <c r="I13" t="s">
        <v>18</v>
      </c>
      <c r="J13" t="s">
        <v>19</v>
      </c>
      <c r="K13" t="s">
        <v>20</v>
      </c>
      <c r="L13">
        <v>0.81</v>
      </c>
      <c r="M13">
        <v>26</v>
      </c>
      <c r="N13">
        <v>30</v>
      </c>
      <c r="O13">
        <v>56</v>
      </c>
      <c r="P13" s="2">
        <v>0.33329999999999999</v>
      </c>
      <c r="Q13" s="2">
        <v>0.28360000000000002</v>
      </c>
      <c r="R13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14" spans="1:18" ht="14.25" x14ac:dyDescent="0.2">
      <c r="A14">
        <v>13</v>
      </c>
      <c r="B14" s="5">
        <v>40544</v>
      </c>
      <c r="C14">
        <v>1</v>
      </c>
      <c r="D14">
        <v>12</v>
      </c>
      <c r="E14" t="b">
        <v>0</v>
      </c>
      <c r="F14">
        <v>6</v>
      </c>
      <c r="G14">
        <v>1</v>
      </c>
      <c r="H14">
        <v>0.42</v>
      </c>
      <c r="I14" t="s">
        <v>18</v>
      </c>
      <c r="J14" t="s">
        <v>19</v>
      </c>
      <c r="K14" t="s">
        <v>22</v>
      </c>
      <c r="L14">
        <v>0.77</v>
      </c>
      <c r="M14">
        <v>29</v>
      </c>
      <c r="N14">
        <v>55</v>
      </c>
      <c r="O14">
        <v>84</v>
      </c>
      <c r="P14" s="2">
        <v>0.42420000000000002</v>
      </c>
      <c r="Q14" s="2">
        <v>0.28360000000000002</v>
      </c>
      <c r="R14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15" spans="1:18" ht="14.25" x14ac:dyDescent="0.2">
      <c r="A15">
        <v>14</v>
      </c>
      <c r="B15" s="5">
        <v>40544</v>
      </c>
      <c r="C15">
        <v>1</v>
      </c>
      <c r="D15">
        <v>13</v>
      </c>
      <c r="E15" t="b">
        <v>0</v>
      </c>
      <c r="F15">
        <v>6</v>
      </c>
      <c r="G15">
        <v>2</v>
      </c>
      <c r="H15">
        <v>0.46</v>
      </c>
      <c r="I15" t="s">
        <v>18</v>
      </c>
      <c r="J15" t="s">
        <v>21</v>
      </c>
      <c r="K15" t="s">
        <v>22</v>
      </c>
      <c r="L15">
        <v>0.72</v>
      </c>
      <c r="M15">
        <v>47</v>
      </c>
      <c r="N15">
        <v>47</v>
      </c>
      <c r="O15">
        <v>94</v>
      </c>
      <c r="P15" s="2">
        <v>0.45450000000000002</v>
      </c>
      <c r="Q15" s="2">
        <v>0.29849999999999999</v>
      </c>
      <c r="R15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16" spans="1:18" ht="14.25" x14ac:dyDescent="0.2">
      <c r="A16">
        <v>15</v>
      </c>
      <c r="B16" s="5">
        <v>40544</v>
      </c>
      <c r="C16">
        <v>1</v>
      </c>
      <c r="D16">
        <v>14</v>
      </c>
      <c r="E16" t="b">
        <v>0</v>
      </c>
      <c r="F16">
        <v>6</v>
      </c>
      <c r="G16">
        <v>2</v>
      </c>
      <c r="H16">
        <v>0.46</v>
      </c>
      <c r="I16" t="s">
        <v>18</v>
      </c>
      <c r="J16" t="s">
        <v>21</v>
      </c>
      <c r="K16" t="s">
        <v>22</v>
      </c>
      <c r="L16">
        <v>0.72</v>
      </c>
      <c r="M16">
        <v>35</v>
      </c>
      <c r="N16">
        <v>71</v>
      </c>
      <c r="O16">
        <v>106</v>
      </c>
      <c r="P16" s="2">
        <v>0.45450000000000002</v>
      </c>
      <c r="Q16" s="2">
        <v>0.28360000000000002</v>
      </c>
      <c r="R16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17" spans="1:18" ht="14.25" x14ac:dyDescent="0.2">
      <c r="A17">
        <v>16</v>
      </c>
      <c r="B17" s="5">
        <v>40544</v>
      </c>
      <c r="C17">
        <v>1</v>
      </c>
      <c r="D17">
        <v>15</v>
      </c>
      <c r="E17" t="b">
        <v>0</v>
      </c>
      <c r="F17">
        <v>6</v>
      </c>
      <c r="G17">
        <v>2</v>
      </c>
      <c r="H17">
        <v>0.44</v>
      </c>
      <c r="I17" t="s">
        <v>18</v>
      </c>
      <c r="J17" t="s">
        <v>21</v>
      </c>
      <c r="K17" t="s">
        <v>22</v>
      </c>
      <c r="L17">
        <v>0.77</v>
      </c>
      <c r="M17">
        <v>40</v>
      </c>
      <c r="N17">
        <v>70</v>
      </c>
      <c r="O17">
        <v>110</v>
      </c>
      <c r="P17" s="2">
        <v>0.43940000000000001</v>
      </c>
      <c r="Q17" s="2">
        <v>0.29849999999999999</v>
      </c>
      <c r="R17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18" spans="1:18" ht="14.25" x14ac:dyDescent="0.2">
      <c r="A18">
        <v>17</v>
      </c>
      <c r="B18" s="5">
        <v>40544</v>
      </c>
      <c r="C18">
        <v>1</v>
      </c>
      <c r="D18">
        <v>16</v>
      </c>
      <c r="E18" t="b">
        <v>0</v>
      </c>
      <c r="F18">
        <v>6</v>
      </c>
      <c r="G18">
        <v>2</v>
      </c>
      <c r="H18">
        <v>0.42</v>
      </c>
      <c r="I18" t="s">
        <v>18</v>
      </c>
      <c r="J18" t="s">
        <v>21</v>
      </c>
      <c r="K18" t="s">
        <v>22</v>
      </c>
      <c r="L18">
        <v>0.82</v>
      </c>
      <c r="M18">
        <v>41</v>
      </c>
      <c r="N18">
        <v>52</v>
      </c>
      <c r="O18">
        <v>93</v>
      </c>
      <c r="P18" s="2">
        <v>0.42420000000000002</v>
      </c>
      <c r="Q18" s="2">
        <v>0.29849999999999999</v>
      </c>
      <c r="R18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19" spans="1:18" ht="14.25" x14ac:dyDescent="0.2">
      <c r="A19">
        <v>18</v>
      </c>
      <c r="B19" s="5">
        <v>40544</v>
      </c>
      <c r="C19">
        <v>1</v>
      </c>
      <c r="D19">
        <v>17</v>
      </c>
      <c r="E19" t="b">
        <v>0</v>
      </c>
      <c r="F19">
        <v>6</v>
      </c>
      <c r="G19">
        <v>2</v>
      </c>
      <c r="H19">
        <v>0.44</v>
      </c>
      <c r="I19" t="s">
        <v>18</v>
      </c>
      <c r="J19" t="s">
        <v>21</v>
      </c>
      <c r="K19" t="s">
        <v>23</v>
      </c>
      <c r="L19">
        <v>0.82</v>
      </c>
      <c r="M19">
        <v>15</v>
      </c>
      <c r="N19">
        <v>52</v>
      </c>
      <c r="O19">
        <v>67</v>
      </c>
      <c r="P19" s="2">
        <v>0.19993</v>
      </c>
      <c r="Q19" s="2">
        <v>0.28360000000000002</v>
      </c>
      <c r="R19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20" spans="1:18" ht="14.25" x14ac:dyDescent="0.2">
      <c r="A20">
        <v>19</v>
      </c>
      <c r="B20" s="5">
        <v>40544</v>
      </c>
      <c r="C20">
        <v>1</v>
      </c>
      <c r="D20">
        <v>18</v>
      </c>
      <c r="E20" t="b">
        <v>0</v>
      </c>
      <c r="F20">
        <v>6</v>
      </c>
      <c r="G20">
        <v>3</v>
      </c>
      <c r="H20">
        <v>0.42</v>
      </c>
      <c r="I20" t="s">
        <v>18</v>
      </c>
      <c r="J20" t="s">
        <v>24</v>
      </c>
      <c r="K20" t="s">
        <v>23</v>
      </c>
      <c r="L20">
        <v>0.88</v>
      </c>
      <c r="M20">
        <v>9</v>
      </c>
      <c r="N20">
        <v>26</v>
      </c>
      <c r="O20">
        <v>35</v>
      </c>
      <c r="P20" s="2">
        <v>0.42420000000000002</v>
      </c>
      <c r="Q20" s="2">
        <v>0.25369999999999998</v>
      </c>
      <c r="R20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21" spans="1:18" ht="14.25" x14ac:dyDescent="0.2">
      <c r="A21">
        <v>20</v>
      </c>
      <c r="B21" s="5">
        <v>40544</v>
      </c>
      <c r="C21">
        <v>1</v>
      </c>
      <c r="D21">
        <v>19</v>
      </c>
      <c r="E21" t="b">
        <v>0</v>
      </c>
      <c r="F21">
        <v>6</v>
      </c>
      <c r="G21">
        <v>3</v>
      </c>
      <c r="H21">
        <v>0.42</v>
      </c>
      <c r="I21" t="s">
        <v>18</v>
      </c>
      <c r="J21" t="s">
        <v>24</v>
      </c>
      <c r="K21" t="s">
        <v>23</v>
      </c>
      <c r="L21">
        <v>0.88</v>
      </c>
      <c r="M21">
        <v>6</v>
      </c>
      <c r="N21">
        <v>31</v>
      </c>
      <c r="O21">
        <v>37</v>
      </c>
      <c r="P21" s="2">
        <v>0.42420000000000002</v>
      </c>
      <c r="Q21" s="2">
        <v>0.25369999999999998</v>
      </c>
      <c r="R21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22" spans="1:18" ht="14.25" x14ac:dyDescent="0.2">
      <c r="A22">
        <v>21</v>
      </c>
      <c r="B22" s="5">
        <v>40544</v>
      </c>
      <c r="C22">
        <v>1</v>
      </c>
      <c r="D22">
        <v>20</v>
      </c>
      <c r="E22" t="b">
        <v>0</v>
      </c>
      <c r="F22">
        <v>6</v>
      </c>
      <c r="G22">
        <v>2</v>
      </c>
      <c r="H22">
        <v>0.4</v>
      </c>
      <c r="I22" t="s">
        <v>18</v>
      </c>
      <c r="J22" t="s">
        <v>21</v>
      </c>
      <c r="K22" t="s">
        <v>23</v>
      </c>
      <c r="L22">
        <v>0.87</v>
      </c>
      <c r="M22">
        <v>11</v>
      </c>
      <c r="N22">
        <v>25</v>
      </c>
      <c r="O22">
        <v>36</v>
      </c>
      <c r="P22" s="2">
        <v>0.40910000000000002</v>
      </c>
      <c r="Q22" s="2">
        <v>0.25369999999999998</v>
      </c>
      <c r="R22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23" spans="1:18" ht="14.25" x14ac:dyDescent="0.2">
      <c r="A23">
        <v>22</v>
      </c>
      <c r="B23" s="5">
        <v>40544</v>
      </c>
      <c r="C23">
        <v>1</v>
      </c>
      <c r="D23">
        <v>21</v>
      </c>
      <c r="E23" t="b">
        <v>0</v>
      </c>
      <c r="F23">
        <v>6</v>
      </c>
      <c r="G23">
        <v>2</v>
      </c>
      <c r="H23">
        <v>0.4</v>
      </c>
      <c r="I23" t="s">
        <v>18</v>
      </c>
      <c r="J23" t="s">
        <v>21</v>
      </c>
      <c r="K23" t="s">
        <v>25</v>
      </c>
      <c r="L23">
        <v>0.87</v>
      </c>
      <c r="M23">
        <v>3</v>
      </c>
      <c r="N23">
        <v>31</v>
      </c>
      <c r="O23">
        <v>34</v>
      </c>
      <c r="P23" s="2">
        <v>0.40910000000000002</v>
      </c>
      <c r="Q23" s="2">
        <v>0.19400000000000001</v>
      </c>
      <c r="R23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24" spans="1:18" ht="14.25" x14ac:dyDescent="0.2">
      <c r="A24">
        <v>23</v>
      </c>
      <c r="B24" s="5">
        <v>40544</v>
      </c>
      <c r="C24">
        <v>1</v>
      </c>
      <c r="D24">
        <v>22</v>
      </c>
      <c r="E24" t="b">
        <v>0</v>
      </c>
      <c r="F24">
        <v>6</v>
      </c>
      <c r="G24">
        <v>2</v>
      </c>
      <c r="H24">
        <v>0.4</v>
      </c>
      <c r="I24" t="s">
        <v>18</v>
      </c>
      <c r="J24" t="s">
        <v>21</v>
      </c>
      <c r="K24" t="s">
        <v>25</v>
      </c>
      <c r="L24">
        <v>0.94</v>
      </c>
      <c r="M24">
        <v>11</v>
      </c>
      <c r="N24">
        <v>17</v>
      </c>
      <c r="O24">
        <v>28</v>
      </c>
      <c r="P24" s="2">
        <v>0.40910000000000002</v>
      </c>
      <c r="Q24" s="2">
        <v>0.22389999999999999</v>
      </c>
      <c r="R24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25" spans="1:18" ht="14.25" x14ac:dyDescent="0.2">
      <c r="A25">
        <v>24</v>
      </c>
      <c r="B25" s="5">
        <v>40544</v>
      </c>
      <c r="C25">
        <v>1</v>
      </c>
      <c r="D25">
        <v>23</v>
      </c>
      <c r="E25" t="b">
        <v>0</v>
      </c>
      <c r="F25">
        <v>6</v>
      </c>
      <c r="G25">
        <v>2</v>
      </c>
      <c r="H25">
        <v>0.46</v>
      </c>
      <c r="I25" t="s">
        <v>18</v>
      </c>
      <c r="J25" t="s">
        <v>21</v>
      </c>
      <c r="K25" t="s">
        <v>25</v>
      </c>
      <c r="L25">
        <v>0.88</v>
      </c>
      <c r="M25">
        <v>15</v>
      </c>
      <c r="N25">
        <v>24</v>
      </c>
      <c r="O25">
        <v>39</v>
      </c>
      <c r="P25" s="2">
        <v>0.19993</v>
      </c>
      <c r="Q25" s="2">
        <v>0.29849999999999999</v>
      </c>
      <c r="R25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26" spans="1:18" ht="14.25" x14ac:dyDescent="0.2">
      <c r="A26">
        <v>25</v>
      </c>
      <c r="B26" s="5">
        <v>40545</v>
      </c>
      <c r="C26">
        <v>1</v>
      </c>
      <c r="D26">
        <v>0</v>
      </c>
      <c r="E26" t="b">
        <v>0</v>
      </c>
      <c r="F26">
        <v>0</v>
      </c>
      <c r="G26">
        <v>2</v>
      </c>
      <c r="H26">
        <v>0.46</v>
      </c>
      <c r="I26" t="s">
        <v>5</v>
      </c>
      <c r="J26" t="s">
        <v>21</v>
      </c>
      <c r="K26" t="s">
        <v>20</v>
      </c>
      <c r="L26">
        <v>0.88</v>
      </c>
      <c r="M26">
        <v>4</v>
      </c>
      <c r="N26">
        <v>13</v>
      </c>
      <c r="O26">
        <v>17</v>
      </c>
      <c r="P26" s="2">
        <v>0.45450000000000002</v>
      </c>
      <c r="Q26" s="2">
        <v>0.29849999999999999</v>
      </c>
      <c r="R26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27" spans="1:18" ht="14.25" x14ac:dyDescent="0.2">
      <c r="A27">
        <v>26</v>
      </c>
      <c r="B27" s="5">
        <v>40545</v>
      </c>
      <c r="C27">
        <v>1</v>
      </c>
      <c r="D27">
        <v>1</v>
      </c>
      <c r="E27" t="b">
        <v>0</v>
      </c>
      <c r="F27">
        <v>0</v>
      </c>
      <c r="G27">
        <v>2</v>
      </c>
      <c r="H27">
        <v>0.44</v>
      </c>
      <c r="I27" t="s">
        <v>5</v>
      </c>
      <c r="J27" t="s">
        <v>21</v>
      </c>
      <c r="K27" t="s">
        <v>20</v>
      </c>
      <c r="L27">
        <v>0.94</v>
      </c>
      <c r="M27">
        <v>1</v>
      </c>
      <c r="N27">
        <v>16</v>
      </c>
      <c r="O27">
        <v>17</v>
      </c>
      <c r="P27" s="2">
        <v>0.43940000000000001</v>
      </c>
      <c r="Q27" s="2">
        <v>0.25369999999999998</v>
      </c>
      <c r="R27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28" spans="1:18" ht="14.25" x14ac:dyDescent="0.2">
      <c r="A28">
        <v>27</v>
      </c>
      <c r="B28" s="5">
        <v>40545</v>
      </c>
      <c r="C28">
        <v>1</v>
      </c>
      <c r="D28">
        <v>2</v>
      </c>
      <c r="E28" t="b">
        <v>0</v>
      </c>
      <c r="F28">
        <v>0</v>
      </c>
      <c r="G28">
        <v>2</v>
      </c>
      <c r="H28">
        <v>0.42</v>
      </c>
      <c r="I28" t="s">
        <v>5</v>
      </c>
      <c r="J28" t="s">
        <v>21</v>
      </c>
      <c r="K28" t="s">
        <v>20</v>
      </c>
      <c r="L28">
        <v>1</v>
      </c>
      <c r="M28">
        <v>1</v>
      </c>
      <c r="N28">
        <v>8</v>
      </c>
      <c r="O28">
        <v>9</v>
      </c>
      <c r="P28" s="2">
        <v>0.42420000000000002</v>
      </c>
      <c r="Q28" s="2">
        <v>0.28360000000000002</v>
      </c>
      <c r="R28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29" spans="1:18" ht="14.25" x14ac:dyDescent="0.2">
      <c r="A29">
        <v>28</v>
      </c>
      <c r="B29" s="5">
        <v>40545</v>
      </c>
      <c r="C29">
        <v>1</v>
      </c>
      <c r="D29">
        <v>3</v>
      </c>
      <c r="E29" t="b">
        <v>0</v>
      </c>
      <c r="F29">
        <v>0</v>
      </c>
      <c r="G29">
        <v>2</v>
      </c>
      <c r="H29">
        <v>0.46</v>
      </c>
      <c r="I29" t="s">
        <v>5</v>
      </c>
      <c r="J29" t="s">
        <v>21</v>
      </c>
      <c r="K29" t="s">
        <v>20</v>
      </c>
      <c r="L29">
        <v>0.94</v>
      </c>
      <c r="M29">
        <v>2</v>
      </c>
      <c r="N29">
        <v>4</v>
      </c>
      <c r="O29">
        <v>6</v>
      </c>
      <c r="P29" s="2">
        <v>0.45450000000000002</v>
      </c>
      <c r="Q29" s="2">
        <v>0.19400000000000001</v>
      </c>
      <c r="R29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30" spans="1:18" ht="14.25" x14ac:dyDescent="0.2">
      <c r="A30">
        <v>29</v>
      </c>
      <c r="B30" s="5">
        <v>40545</v>
      </c>
      <c r="C30">
        <v>1</v>
      </c>
      <c r="D30">
        <v>4</v>
      </c>
      <c r="E30" t="b">
        <v>0</v>
      </c>
      <c r="F30">
        <v>0</v>
      </c>
      <c r="G30">
        <v>2</v>
      </c>
      <c r="H30">
        <v>0.46</v>
      </c>
      <c r="I30" t="s">
        <v>5</v>
      </c>
      <c r="J30" t="s">
        <v>21</v>
      </c>
      <c r="K30" t="s">
        <v>20</v>
      </c>
      <c r="L30">
        <v>0.94</v>
      </c>
      <c r="M30">
        <v>2</v>
      </c>
      <c r="N30">
        <v>1</v>
      </c>
      <c r="O30">
        <v>3</v>
      </c>
      <c r="P30" s="2">
        <v>0.19993</v>
      </c>
      <c r="Q30" s="2">
        <v>0.19400000000000001</v>
      </c>
      <c r="R30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31" spans="1:18" ht="14.25" x14ac:dyDescent="0.2">
      <c r="A31">
        <v>30</v>
      </c>
      <c r="B31" s="5">
        <v>40545</v>
      </c>
      <c r="C31">
        <v>1</v>
      </c>
      <c r="D31">
        <v>6</v>
      </c>
      <c r="E31" t="b">
        <v>0</v>
      </c>
      <c r="F31">
        <v>0</v>
      </c>
      <c r="G31">
        <v>3</v>
      </c>
      <c r="H31">
        <v>0.42</v>
      </c>
      <c r="I31" t="s">
        <v>5</v>
      </c>
      <c r="J31" t="s">
        <v>24</v>
      </c>
      <c r="K31" t="s">
        <v>20</v>
      </c>
      <c r="L31">
        <v>0.77</v>
      </c>
      <c r="M31">
        <v>0</v>
      </c>
      <c r="N31">
        <v>2</v>
      </c>
      <c r="O31">
        <v>2</v>
      </c>
      <c r="P31" s="2">
        <v>0.42420000000000002</v>
      </c>
      <c r="Q31" s="2">
        <v>0.29849999999999999</v>
      </c>
      <c r="R31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32" spans="1:18" ht="14.25" x14ac:dyDescent="0.2">
      <c r="A32">
        <v>31</v>
      </c>
      <c r="B32" s="5">
        <v>40545</v>
      </c>
      <c r="C32">
        <v>1</v>
      </c>
      <c r="D32">
        <v>7</v>
      </c>
      <c r="E32" t="b">
        <v>0</v>
      </c>
      <c r="F32">
        <v>0</v>
      </c>
      <c r="G32">
        <v>2</v>
      </c>
      <c r="H32">
        <v>0.4</v>
      </c>
      <c r="I32" t="s">
        <v>5</v>
      </c>
      <c r="J32" t="s">
        <v>21</v>
      </c>
      <c r="K32" t="s">
        <v>20</v>
      </c>
      <c r="L32">
        <v>0.76</v>
      </c>
      <c r="M32">
        <v>0</v>
      </c>
      <c r="N32">
        <v>1</v>
      </c>
      <c r="O32">
        <v>1</v>
      </c>
      <c r="P32" s="2">
        <v>0.40910000000000002</v>
      </c>
      <c r="Q32" s="2">
        <v>0.19400000000000001</v>
      </c>
      <c r="R32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33" spans="1:18" ht="14.25" x14ac:dyDescent="0.2">
      <c r="A33">
        <v>32</v>
      </c>
      <c r="B33" s="5">
        <v>40545</v>
      </c>
      <c r="C33">
        <v>1</v>
      </c>
      <c r="D33">
        <v>8</v>
      </c>
      <c r="E33" t="b">
        <v>0</v>
      </c>
      <c r="F33">
        <v>0</v>
      </c>
      <c r="G33">
        <v>3</v>
      </c>
      <c r="H33">
        <v>0.4</v>
      </c>
      <c r="I33" t="s">
        <v>5</v>
      </c>
      <c r="J33" t="s">
        <v>24</v>
      </c>
      <c r="K33" t="s">
        <v>20</v>
      </c>
      <c r="L33">
        <v>0.71</v>
      </c>
      <c r="M33">
        <v>0</v>
      </c>
      <c r="N33">
        <v>8</v>
      </c>
      <c r="O33">
        <v>8</v>
      </c>
      <c r="P33" s="2">
        <v>0.40910000000000002</v>
      </c>
      <c r="Q33" s="2">
        <v>0.22389999999999999</v>
      </c>
      <c r="R33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34" spans="1:18" ht="14.25" x14ac:dyDescent="0.2">
      <c r="A34">
        <v>33</v>
      </c>
      <c r="B34" s="5">
        <v>40545</v>
      </c>
      <c r="C34">
        <v>1</v>
      </c>
      <c r="D34">
        <v>9</v>
      </c>
      <c r="E34" t="b">
        <v>0</v>
      </c>
      <c r="F34">
        <v>0</v>
      </c>
      <c r="G34">
        <v>2</v>
      </c>
      <c r="H34">
        <v>0.38</v>
      </c>
      <c r="I34" t="s">
        <v>5</v>
      </c>
      <c r="J34" t="s">
        <v>21</v>
      </c>
      <c r="K34" t="s">
        <v>20</v>
      </c>
      <c r="L34">
        <v>0.76</v>
      </c>
      <c r="M34">
        <v>1</v>
      </c>
      <c r="N34">
        <v>19</v>
      </c>
      <c r="O34">
        <v>20</v>
      </c>
      <c r="P34" s="2">
        <v>0.19993</v>
      </c>
      <c r="Q34" s="2">
        <v>0.22389999999999999</v>
      </c>
      <c r="R34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35" spans="1:18" ht="14.25" x14ac:dyDescent="0.2">
      <c r="A35">
        <v>34</v>
      </c>
      <c r="B35" s="5">
        <v>40545</v>
      </c>
      <c r="C35">
        <v>1</v>
      </c>
      <c r="D35">
        <v>10</v>
      </c>
      <c r="E35" t="b">
        <v>0</v>
      </c>
      <c r="F35">
        <v>0</v>
      </c>
      <c r="G35">
        <v>2</v>
      </c>
      <c r="H35">
        <v>0.36</v>
      </c>
      <c r="I35" t="s">
        <v>5</v>
      </c>
      <c r="J35" t="s">
        <v>21</v>
      </c>
      <c r="K35" t="s">
        <v>20</v>
      </c>
      <c r="L35">
        <v>0.81</v>
      </c>
      <c r="M35">
        <v>7</v>
      </c>
      <c r="N35">
        <v>46</v>
      </c>
      <c r="O35">
        <v>53</v>
      </c>
      <c r="P35" s="2">
        <v>0.34849999999999998</v>
      </c>
      <c r="Q35" s="2">
        <v>0.22389999999999999</v>
      </c>
      <c r="R35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36" spans="1:18" ht="14.25" x14ac:dyDescent="0.2">
      <c r="A36">
        <v>35</v>
      </c>
      <c r="B36" s="5">
        <v>40545</v>
      </c>
      <c r="C36">
        <v>1</v>
      </c>
      <c r="D36">
        <v>11</v>
      </c>
      <c r="E36" t="b">
        <v>0</v>
      </c>
      <c r="F36">
        <v>0</v>
      </c>
      <c r="G36">
        <v>2</v>
      </c>
      <c r="H36">
        <v>0.36</v>
      </c>
      <c r="I36" t="s">
        <v>5</v>
      </c>
      <c r="J36" t="s">
        <v>21</v>
      </c>
      <c r="K36" t="s">
        <v>20</v>
      </c>
      <c r="L36">
        <v>0.71</v>
      </c>
      <c r="M36">
        <v>16</v>
      </c>
      <c r="N36">
        <v>54</v>
      </c>
      <c r="O36">
        <v>70</v>
      </c>
      <c r="P36" s="2">
        <v>0.33329999999999999</v>
      </c>
      <c r="Q36" s="2">
        <v>0.25369999999999998</v>
      </c>
      <c r="R36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37" spans="1:18" ht="14.25" x14ac:dyDescent="0.2">
      <c r="A37">
        <v>36</v>
      </c>
      <c r="B37" s="5">
        <v>40545</v>
      </c>
      <c r="C37">
        <v>1</v>
      </c>
      <c r="D37">
        <v>12</v>
      </c>
      <c r="E37" t="b">
        <v>0</v>
      </c>
      <c r="F37">
        <v>0</v>
      </c>
      <c r="G37">
        <v>2</v>
      </c>
      <c r="H37">
        <v>0.36</v>
      </c>
      <c r="I37" t="s">
        <v>5</v>
      </c>
      <c r="J37" t="s">
        <v>21</v>
      </c>
      <c r="K37" t="s">
        <v>22</v>
      </c>
      <c r="L37">
        <v>0.66</v>
      </c>
      <c r="M37">
        <v>20</v>
      </c>
      <c r="N37">
        <v>73</v>
      </c>
      <c r="O37">
        <v>93</v>
      </c>
      <c r="P37" s="2">
        <v>0.33329999999999999</v>
      </c>
      <c r="Q37" s="2">
        <v>0.29849999999999999</v>
      </c>
      <c r="R37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38" spans="1:18" ht="14.25" x14ac:dyDescent="0.2">
      <c r="A38">
        <v>37</v>
      </c>
      <c r="B38" s="5">
        <v>40545</v>
      </c>
      <c r="C38">
        <v>1</v>
      </c>
      <c r="D38">
        <v>13</v>
      </c>
      <c r="E38" t="b">
        <v>0</v>
      </c>
      <c r="F38">
        <v>0</v>
      </c>
      <c r="G38">
        <v>2</v>
      </c>
      <c r="H38">
        <v>0.36</v>
      </c>
      <c r="I38" t="s">
        <v>5</v>
      </c>
      <c r="J38" t="s">
        <v>21</v>
      </c>
      <c r="K38" t="s">
        <v>22</v>
      </c>
      <c r="L38">
        <v>0.66</v>
      </c>
      <c r="M38">
        <v>11</v>
      </c>
      <c r="N38">
        <v>64</v>
      </c>
      <c r="O38">
        <v>75</v>
      </c>
      <c r="P38" s="2">
        <v>0.34849999999999998</v>
      </c>
      <c r="Q38" s="2">
        <v>0.1343</v>
      </c>
      <c r="R38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39" spans="1:18" ht="14.25" x14ac:dyDescent="0.2">
      <c r="A39">
        <v>38</v>
      </c>
      <c r="B39" s="5">
        <v>40545</v>
      </c>
      <c r="C39">
        <v>1</v>
      </c>
      <c r="D39">
        <v>14</v>
      </c>
      <c r="E39" t="b">
        <v>0</v>
      </c>
      <c r="F39">
        <v>0</v>
      </c>
      <c r="G39">
        <v>3</v>
      </c>
      <c r="H39">
        <v>0.36</v>
      </c>
      <c r="I39" t="s">
        <v>5</v>
      </c>
      <c r="J39" t="s">
        <v>24</v>
      </c>
      <c r="K39" t="s">
        <v>22</v>
      </c>
      <c r="L39">
        <v>0.76</v>
      </c>
      <c r="M39">
        <v>4</v>
      </c>
      <c r="N39">
        <v>55</v>
      </c>
      <c r="O39">
        <v>59</v>
      </c>
      <c r="P39" s="2">
        <v>0.19993</v>
      </c>
      <c r="Q39" s="2">
        <v>0.19400000000000001</v>
      </c>
      <c r="R39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40" spans="1:18" ht="14.25" x14ac:dyDescent="0.2">
      <c r="A40">
        <v>39</v>
      </c>
      <c r="B40" s="5">
        <v>40545</v>
      </c>
      <c r="C40">
        <v>1</v>
      </c>
      <c r="D40">
        <v>15</v>
      </c>
      <c r="E40" t="b">
        <v>0</v>
      </c>
      <c r="F40">
        <v>0</v>
      </c>
      <c r="G40">
        <v>3</v>
      </c>
      <c r="H40">
        <v>0.34</v>
      </c>
      <c r="I40" t="s">
        <v>5</v>
      </c>
      <c r="J40" t="s">
        <v>24</v>
      </c>
      <c r="K40" t="s">
        <v>22</v>
      </c>
      <c r="L40">
        <v>0.81</v>
      </c>
      <c r="M40">
        <v>19</v>
      </c>
      <c r="N40">
        <v>55</v>
      </c>
      <c r="O40">
        <v>74</v>
      </c>
      <c r="P40" s="2">
        <v>0.33329999999999999</v>
      </c>
      <c r="Q40" s="2">
        <v>0.16420000000000001</v>
      </c>
      <c r="R40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41" spans="1:18" ht="14.25" x14ac:dyDescent="0.2">
      <c r="A41">
        <v>40</v>
      </c>
      <c r="B41" s="5">
        <v>40545</v>
      </c>
      <c r="C41">
        <v>1</v>
      </c>
      <c r="D41">
        <v>16</v>
      </c>
      <c r="E41" t="b">
        <v>0</v>
      </c>
      <c r="F41">
        <v>0</v>
      </c>
      <c r="G41">
        <v>3</v>
      </c>
      <c r="H41">
        <v>0.34</v>
      </c>
      <c r="I41" t="s">
        <v>5</v>
      </c>
      <c r="J41" t="s">
        <v>24</v>
      </c>
      <c r="K41" t="s">
        <v>22</v>
      </c>
      <c r="L41">
        <v>0.71</v>
      </c>
      <c r="M41">
        <v>9</v>
      </c>
      <c r="N41">
        <v>67</v>
      </c>
      <c r="O41">
        <v>76</v>
      </c>
      <c r="P41" s="2">
        <v>0.33329999999999999</v>
      </c>
      <c r="Q41" s="2">
        <v>0.16420000000000001</v>
      </c>
      <c r="R41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42" spans="1:18" ht="14.25" x14ac:dyDescent="0.2">
      <c r="A42">
        <v>41</v>
      </c>
      <c r="B42" s="5">
        <v>40545</v>
      </c>
      <c r="C42">
        <v>1</v>
      </c>
      <c r="D42">
        <v>17</v>
      </c>
      <c r="E42" t="b">
        <v>0</v>
      </c>
      <c r="F42">
        <v>0</v>
      </c>
      <c r="G42">
        <v>1</v>
      </c>
      <c r="H42">
        <v>0.34</v>
      </c>
      <c r="I42" t="s">
        <v>5</v>
      </c>
      <c r="J42" t="s">
        <v>19</v>
      </c>
      <c r="K42" t="s">
        <v>23</v>
      </c>
      <c r="L42">
        <v>0.56999999999999995</v>
      </c>
      <c r="M42">
        <v>7</v>
      </c>
      <c r="N42">
        <v>58</v>
      </c>
      <c r="O42">
        <v>65</v>
      </c>
      <c r="P42" s="2">
        <v>0.33329999999999999</v>
      </c>
      <c r="Q42" s="2">
        <v>0.19400000000000001</v>
      </c>
      <c r="R42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43" spans="1:18" ht="14.25" x14ac:dyDescent="0.2">
      <c r="A43">
        <v>42</v>
      </c>
      <c r="B43" s="5">
        <v>40545</v>
      </c>
      <c r="C43">
        <v>1</v>
      </c>
      <c r="D43">
        <v>18</v>
      </c>
      <c r="E43" t="b">
        <v>0</v>
      </c>
      <c r="F43">
        <v>0</v>
      </c>
      <c r="G43">
        <v>2</v>
      </c>
      <c r="H43">
        <v>0.36</v>
      </c>
      <c r="I43" t="s">
        <v>5</v>
      </c>
      <c r="J43" t="s">
        <v>21</v>
      </c>
      <c r="K43" t="s">
        <v>23</v>
      </c>
      <c r="L43">
        <v>0.46</v>
      </c>
      <c r="M43">
        <v>10</v>
      </c>
      <c r="N43">
        <v>43</v>
      </c>
      <c r="O43">
        <v>53</v>
      </c>
      <c r="P43" s="2">
        <v>0.33329999999999999</v>
      </c>
      <c r="Q43" s="2">
        <v>0.32840000000000003</v>
      </c>
      <c r="R43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44" spans="1:18" ht="14.25" x14ac:dyDescent="0.2">
      <c r="A44">
        <v>43</v>
      </c>
      <c r="B44" s="5">
        <v>40545</v>
      </c>
      <c r="C44">
        <v>1</v>
      </c>
      <c r="D44">
        <v>19</v>
      </c>
      <c r="E44" t="b">
        <v>0</v>
      </c>
      <c r="F44">
        <v>0</v>
      </c>
      <c r="G44">
        <v>1</v>
      </c>
      <c r="H44">
        <v>0.32</v>
      </c>
      <c r="I44" t="s">
        <v>5</v>
      </c>
      <c r="J44" t="s">
        <v>19</v>
      </c>
      <c r="K44" t="s">
        <v>23</v>
      </c>
      <c r="L44">
        <v>0.42</v>
      </c>
      <c r="M44">
        <v>1</v>
      </c>
      <c r="N44">
        <v>29</v>
      </c>
      <c r="O44">
        <v>30</v>
      </c>
      <c r="P44" s="2">
        <v>0.28789999999999999</v>
      </c>
      <c r="Q44" s="2">
        <v>0.44779999999999998</v>
      </c>
      <c r="R44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45" spans="1:18" ht="14.25" x14ac:dyDescent="0.2">
      <c r="A45">
        <v>44</v>
      </c>
      <c r="B45" s="5">
        <v>40545</v>
      </c>
      <c r="C45">
        <v>1</v>
      </c>
      <c r="D45">
        <v>20</v>
      </c>
      <c r="E45" t="b">
        <v>0</v>
      </c>
      <c r="F45">
        <v>0</v>
      </c>
      <c r="G45">
        <v>1</v>
      </c>
      <c r="H45">
        <v>0.3</v>
      </c>
      <c r="I45" t="s">
        <v>5</v>
      </c>
      <c r="J45" t="s">
        <v>19</v>
      </c>
      <c r="K45" t="s">
        <v>23</v>
      </c>
      <c r="L45">
        <v>0.39</v>
      </c>
      <c r="M45">
        <v>5</v>
      </c>
      <c r="N45">
        <v>17</v>
      </c>
      <c r="O45">
        <v>22</v>
      </c>
      <c r="P45" s="2">
        <v>0.19993</v>
      </c>
      <c r="Q45" s="2">
        <v>0.35820000000000002</v>
      </c>
      <c r="R45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46" spans="1:18" ht="14.25" x14ac:dyDescent="0.2">
      <c r="A46">
        <v>45</v>
      </c>
      <c r="B46" s="5">
        <v>40545</v>
      </c>
      <c r="C46">
        <v>1</v>
      </c>
      <c r="D46">
        <v>21</v>
      </c>
      <c r="E46" t="b">
        <v>0</v>
      </c>
      <c r="F46">
        <v>0</v>
      </c>
      <c r="G46">
        <v>1</v>
      </c>
      <c r="H46">
        <v>0.26</v>
      </c>
      <c r="I46" t="s">
        <v>5</v>
      </c>
      <c r="J46" t="s">
        <v>19</v>
      </c>
      <c r="K46" t="s">
        <v>25</v>
      </c>
      <c r="L46">
        <v>0.44</v>
      </c>
      <c r="M46">
        <v>11</v>
      </c>
      <c r="N46">
        <v>20</v>
      </c>
      <c r="O46">
        <v>31</v>
      </c>
      <c r="P46" s="2">
        <v>0.2273</v>
      </c>
      <c r="Q46" s="2">
        <v>0.32840000000000003</v>
      </c>
      <c r="R46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47" spans="1:18" ht="14.25" x14ac:dyDescent="0.2">
      <c r="A47">
        <v>46</v>
      </c>
      <c r="B47" s="5">
        <v>40545</v>
      </c>
      <c r="C47">
        <v>1</v>
      </c>
      <c r="D47">
        <v>22</v>
      </c>
      <c r="E47" t="b">
        <v>0</v>
      </c>
      <c r="F47">
        <v>0</v>
      </c>
      <c r="G47">
        <v>1</v>
      </c>
      <c r="H47">
        <v>0.24</v>
      </c>
      <c r="I47" t="s">
        <v>5</v>
      </c>
      <c r="J47" t="s">
        <v>19</v>
      </c>
      <c r="K47" t="s">
        <v>25</v>
      </c>
      <c r="L47">
        <v>0.44</v>
      </c>
      <c r="M47">
        <v>0</v>
      </c>
      <c r="N47">
        <v>9</v>
      </c>
      <c r="O47">
        <v>9</v>
      </c>
      <c r="P47" s="2">
        <v>0.21210000000000001</v>
      </c>
      <c r="Q47" s="2">
        <v>0.29849999999999999</v>
      </c>
      <c r="R47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48" spans="1:18" ht="14.25" x14ac:dyDescent="0.2">
      <c r="A48">
        <v>47</v>
      </c>
      <c r="B48" s="5">
        <v>40545</v>
      </c>
      <c r="C48">
        <v>1</v>
      </c>
      <c r="D48">
        <v>23</v>
      </c>
      <c r="E48" t="b">
        <v>0</v>
      </c>
      <c r="F48">
        <v>0</v>
      </c>
      <c r="G48">
        <v>1</v>
      </c>
      <c r="H48">
        <v>0.22</v>
      </c>
      <c r="I48" t="s">
        <v>5</v>
      </c>
      <c r="J48" t="s">
        <v>19</v>
      </c>
      <c r="K48" t="s">
        <v>25</v>
      </c>
      <c r="L48">
        <v>0.47</v>
      </c>
      <c r="M48">
        <v>0</v>
      </c>
      <c r="N48">
        <v>8</v>
      </c>
      <c r="O48">
        <v>8</v>
      </c>
      <c r="P48" s="2">
        <v>0.2273</v>
      </c>
      <c r="Q48" s="2">
        <v>0.16420000000000001</v>
      </c>
      <c r="R48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49" spans="1:18" ht="14.25" x14ac:dyDescent="0.2">
      <c r="A49">
        <v>48</v>
      </c>
      <c r="B49" s="5">
        <v>40546</v>
      </c>
      <c r="C49">
        <v>1</v>
      </c>
      <c r="D49">
        <v>0</v>
      </c>
      <c r="E49" t="b">
        <v>0</v>
      </c>
      <c r="F49">
        <v>1</v>
      </c>
      <c r="G49">
        <v>1</v>
      </c>
      <c r="H49">
        <v>0.22</v>
      </c>
      <c r="I49" t="s">
        <v>5</v>
      </c>
      <c r="J49" t="s">
        <v>19</v>
      </c>
      <c r="K49" t="s">
        <v>20</v>
      </c>
      <c r="L49">
        <v>0.44</v>
      </c>
      <c r="M49">
        <v>0</v>
      </c>
      <c r="N49">
        <v>5</v>
      </c>
      <c r="O49">
        <v>5</v>
      </c>
      <c r="P49" s="2">
        <v>0.19700000000000001</v>
      </c>
      <c r="Q49" s="2">
        <v>0.35820000000000002</v>
      </c>
      <c r="R49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50" spans="1:18" ht="14.25" x14ac:dyDescent="0.2">
      <c r="A50">
        <v>49</v>
      </c>
      <c r="B50" s="5">
        <v>40546</v>
      </c>
      <c r="C50">
        <v>1</v>
      </c>
      <c r="D50">
        <v>1</v>
      </c>
      <c r="E50" t="b">
        <v>0</v>
      </c>
      <c r="F50">
        <v>1</v>
      </c>
      <c r="G50">
        <v>1</v>
      </c>
      <c r="H50">
        <v>0.2</v>
      </c>
      <c r="I50" t="s">
        <v>5</v>
      </c>
      <c r="J50" t="s">
        <v>19</v>
      </c>
      <c r="K50" t="s">
        <v>20</v>
      </c>
      <c r="L50">
        <v>0.44</v>
      </c>
      <c r="M50">
        <v>0</v>
      </c>
      <c r="N50">
        <v>2</v>
      </c>
      <c r="O50">
        <v>2</v>
      </c>
      <c r="P50" s="2">
        <v>0.19993</v>
      </c>
      <c r="Q50" s="2">
        <v>0.41789999999999999</v>
      </c>
      <c r="R50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51" spans="1:18" ht="14.25" x14ac:dyDescent="0.2">
      <c r="A51">
        <v>50</v>
      </c>
      <c r="B51" s="5">
        <v>40546</v>
      </c>
      <c r="C51">
        <v>1</v>
      </c>
      <c r="D51">
        <v>4</v>
      </c>
      <c r="E51" t="b">
        <v>0</v>
      </c>
      <c r="F51">
        <v>1</v>
      </c>
      <c r="G51">
        <v>1</v>
      </c>
      <c r="H51">
        <v>0.16</v>
      </c>
      <c r="I51" t="s">
        <v>5</v>
      </c>
      <c r="J51" t="s">
        <v>19</v>
      </c>
      <c r="K51" t="s">
        <v>20</v>
      </c>
      <c r="L51">
        <v>0.47</v>
      </c>
      <c r="M51">
        <v>0</v>
      </c>
      <c r="N51">
        <v>1</v>
      </c>
      <c r="O51">
        <v>1</v>
      </c>
      <c r="P51" s="2">
        <v>0.13639999999999999</v>
      </c>
      <c r="Q51" s="2">
        <v>0.3881</v>
      </c>
      <c r="R51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52" spans="1:18" ht="14.25" x14ac:dyDescent="0.2">
      <c r="A52">
        <v>51</v>
      </c>
      <c r="B52" s="5">
        <v>40546</v>
      </c>
      <c r="C52">
        <v>1</v>
      </c>
      <c r="D52">
        <v>5</v>
      </c>
      <c r="E52" t="b">
        <v>0</v>
      </c>
      <c r="F52">
        <v>1</v>
      </c>
      <c r="G52">
        <v>1</v>
      </c>
      <c r="H52">
        <v>0.16</v>
      </c>
      <c r="I52" t="s">
        <v>5</v>
      </c>
      <c r="J52" t="s">
        <v>19</v>
      </c>
      <c r="K52" t="s">
        <v>20</v>
      </c>
      <c r="L52">
        <v>0.47</v>
      </c>
      <c r="M52">
        <v>0</v>
      </c>
      <c r="N52">
        <v>3</v>
      </c>
      <c r="O52">
        <v>3</v>
      </c>
      <c r="P52" s="2">
        <v>0.13639999999999999</v>
      </c>
      <c r="Q52" s="2">
        <v>0.28360000000000002</v>
      </c>
      <c r="R52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53" spans="1:18" ht="14.25" x14ac:dyDescent="0.2">
      <c r="A53">
        <v>52</v>
      </c>
      <c r="B53" s="5">
        <v>40546</v>
      </c>
      <c r="C53">
        <v>1</v>
      </c>
      <c r="D53">
        <v>6</v>
      </c>
      <c r="E53" t="b">
        <v>0</v>
      </c>
      <c r="F53">
        <v>1</v>
      </c>
      <c r="G53">
        <v>1</v>
      </c>
      <c r="H53">
        <v>0.14000000000000001</v>
      </c>
      <c r="I53" t="s">
        <v>5</v>
      </c>
      <c r="J53" t="s">
        <v>19</v>
      </c>
      <c r="K53" t="s">
        <v>20</v>
      </c>
      <c r="L53">
        <v>0.5</v>
      </c>
      <c r="M53">
        <v>0</v>
      </c>
      <c r="N53">
        <v>30</v>
      </c>
      <c r="O53">
        <v>30</v>
      </c>
      <c r="P53" s="2">
        <v>0.1061</v>
      </c>
      <c r="Q53" s="2">
        <v>0.3881</v>
      </c>
      <c r="R53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54" spans="1:18" ht="14.25" x14ac:dyDescent="0.2">
      <c r="A54">
        <v>53</v>
      </c>
      <c r="B54" s="5">
        <v>40546</v>
      </c>
      <c r="C54">
        <v>1</v>
      </c>
      <c r="D54">
        <v>7</v>
      </c>
      <c r="E54" t="b">
        <v>0</v>
      </c>
      <c r="F54">
        <v>1</v>
      </c>
      <c r="G54">
        <v>1</v>
      </c>
      <c r="H54">
        <v>0.14000000000000001</v>
      </c>
      <c r="I54" t="s">
        <v>5</v>
      </c>
      <c r="J54" t="s">
        <v>19</v>
      </c>
      <c r="K54" t="s">
        <v>20</v>
      </c>
      <c r="L54">
        <v>0.5</v>
      </c>
      <c r="M54">
        <v>1</v>
      </c>
      <c r="N54">
        <v>63</v>
      </c>
      <c r="O54">
        <v>64</v>
      </c>
      <c r="P54" s="2">
        <v>0.13639999999999999</v>
      </c>
      <c r="Q54" s="2">
        <v>0.19400000000000001</v>
      </c>
      <c r="R54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55" spans="1:18" ht="14.25" x14ac:dyDescent="0.2">
      <c r="A55">
        <v>54</v>
      </c>
      <c r="B55" s="5">
        <v>40546</v>
      </c>
      <c r="C55">
        <v>1</v>
      </c>
      <c r="D55">
        <v>8</v>
      </c>
      <c r="E55" t="b">
        <v>0</v>
      </c>
      <c r="F55">
        <v>1</v>
      </c>
      <c r="G55">
        <v>1</v>
      </c>
      <c r="H55">
        <v>0.14000000000000001</v>
      </c>
      <c r="I55" t="s">
        <v>5</v>
      </c>
      <c r="J55" t="s">
        <v>19</v>
      </c>
      <c r="K55" t="s">
        <v>20</v>
      </c>
      <c r="L55">
        <v>0.5</v>
      </c>
      <c r="M55">
        <v>1</v>
      </c>
      <c r="N55">
        <v>153</v>
      </c>
      <c r="O55">
        <v>154</v>
      </c>
      <c r="P55" s="2">
        <v>0.1212</v>
      </c>
      <c r="Q55" s="2">
        <v>0.28360000000000002</v>
      </c>
      <c r="R55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56" spans="1:18" ht="14.25" x14ac:dyDescent="0.2">
      <c r="A56">
        <v>55</v>
      </c>
      <c r="B56" s="5">
        <v>40546</v>
      </c>
      <c r="C56">
        <v>1</v>
      </c>
      <c r="D56">
        <v>9</v>
      </c>
      <c r="E56" t="b">
        <v>0</v>
      </c>
      <c r="F56">
        <v>1</v>
      </c>
      <c r="G56">
        <v>1</v>
      </c>
      <c r="H56">
        <v>0.16</v>
      </c>
      <c r="I56" t="s">
        <v>5</v>
      </c>
      <c r="J56" t="s">
        <v>19</v>
      </c>
      <c r="K56" t="s">
        <v>20</v>
      </c>
      <c r="L56">
        <v>0.43</v>
      </c>
      <c r="M56">
        <v>7</v>
      </c>
      <c r="N56">
        <v>81</v>
      </c>
      <c r="O56">
        <v>88</v>
      </c>
      <c r="P56" s="2">
        <v>0.13639999999999999</v>
      </c>
      <c r="Q56" s="2">
        <v>0.3881</v>
      </c>
      <c r="R56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57" spans="1:18" ht="14.25" x14ac:dyDescent="0.2">
      <c r="A57">
        <v>56</v>
      </c>
      <c r="B57" s="5">
        <v>40546</v>
      </c>
      <c r="C57">
        <v>1</v>
      </c>
      <c r="D57">
        <v>10</v>
      </c>
      <c r="E57" t="b">
        <v>0</v>
      </c>
      <c r="F57">
        <v>1</v>
      </c>
      <c r="G57">
        <v>1</v>
      </c>
      <c r="H57">
        <v>0.18</v>
      </c>
      <c r="I57" t="s">
        <v>5</v>
      </c>
      <c r="J57" t="s">
        <v>19</v>
      </c>
      <c r="K57" t="s">
        <v>20</v>
      </c>
      <c r="L57">
        <v>0.43</v>
      </c>
      <c r="M57">
        <v>11</v>
      </c>
      <c r="N57">
        <v>33</v>
      </c>
      <c r="O57">
        <v>44</v>
      </c>
      <c r="P57" s="2">
        <v>0.16669999999999999</v>
      </c>
      <c r="Q57" s="2">
        <v>0.25369999999999998</v>
      </c>
      <c r="R57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58" spans="1:18" ht="14.25" x14ac:dyDescent="0.2">
      <c r="A58">
        <v>57</v>
      </c>
      <c r="B58" s="5">
        <v>40546</v>
      </c>
      <c r="C58">
        <v>1</v>
      </c>
      <c r="D58">
        <v>11</v>
      </c>
      <c r="E58" t="b">
        <v>0</v>
      </c>
      <c r="F58">
        <v>1</v>
      </c>
      <c r="G58">
        <v>1</v>
      </c>
      <c r="H58">
        <v>0.2</v>
      </c>
      <c r="I58" t="s">
        <v>5</v>
      </c>
      <c r="J58" t="s">
        <v>19</v>
      </c>
      <c r="K58" t="s">
        <v>20</v>
      </c>
      <c r="L58">
        <v>0.4</v>
      </c>
      <c r="M58">
        <v>10</v>
      </c>
      <c r="N58">
        <v>41</v>
      </c>
      <c r="O58">
        <v>51</v>
      </c>
      <c r="P58" s="2">
        <v>0.18179999999999999</v>
      </c>
      <c r="Q58" s="2">
        <v>0.32840000000000003</v>
      </c>
      <c r="R58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59" spans="1:18" ht="14.25" x14ac:dyDescent="0.2">
      <c r="A59">
        <v>58</v>
      </c>
      <c r="B59" s="5">
        <v>40546</v>
      </c>
      <c r="C59">
        <v>1</v>
      </c>
      <c r="D59">
        <v>12</v>
      </c>
      <c r="E59" t="b">
        <v>0</v>
      </c>
      <c r="F59">
        <v>1</v>
      </c>
      <c r="G59">
        <v>1</v>
      </c>
      <c r="H59">
        <v>0.22</v>
      </c>
      <c r="I59" t="s">
        <v>5</v>
      </c>
      <c r="J59" t="s">
        <v>19</v>
      </c>
      <c r="K59" t="s">
        <v>22</v>
      </c>
      <c r="L59">
        <v>0.35</v>
      </c>
      <c r="M59">
        <v>13</v>
      </c>
      <c r="N59">
        <v>48</v>
      </c>
      <c r="O59">
        <v>61</v>
      </c>
      <c r="P59" s="2">
        <v>0.21210000000000001</v>
      </c>
      <c r="Q59" s="2">
        <v>0.29849999999999999</v>
      </c>
      <c r="R59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60" spans="1:18" ht="14.25" x14ac:dyDescent="0.2">
      <c r="A60">
        <v>59</v>
      </c>
      <c r="B60" s="5">
        <v>40546</v>
      </c>
      <c r="C60">
        <v>1</v>
      </c>
      <c r="D60">
        <v>13</v>
      </c>
      <c r="E60" t="b">
        <v>0</v>
      </c>
      <c r="F60">
        <v>1</v>
      </c>
      <c r="G60">
        <v>1</v>
      </c>
      <c r="H60">
        <v>0.24</v>
      </c>
      <c r="I60" t="s">
        <v>5</v>
      </c>
      <c r="J60" t="s">
        <v>19</v>
      </c>
      <c r="K60" t="s">
        <v>22</v>
      </c>
      <c r="L60">
        <v>0.35</v>
      </c>
      <c r="M60">
        <v>8</v>
      </c>
      <c r="N60">
        <v>53</v>
      </c>
      <c r="O60">
        <v>61</v>
      </c>
      <c r="P60" s="2">
        <v>0.19993</v>
      </c>
      <c r="Q60" s="2">
        <v>0.28360000000000002</v>
      </c>
      <c r="R60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61" spans="1:18" ht="14.25" x14ac:dyDescent="0.2">
      <c r="A61">
        <v>60</v>
      </c>
      <c r="B61" s="5">
        <v>40546</v>
      </c>
      <c r="C61">
        <v>1</v>
      </c>
      <c r="D61">
        <v>14</v>
      </c>
      <c r="E61" t="b">
        <v>0</v>
      </c>
      <c r="F61">
        <v>1</v>
      </c>
      <c r="G61">
        <v>1</v>
      </c>
      <c r="H61">
        <v>0.26</v>
      </c>
      <c r="I61" t="s">
        <v>5</v>
      </c>
      <c r="J61" t="s">
        <v>19</v>
      </c>
      <c r="K61" t="s">
        <v>22</v>
      </c>
      <c r="L61">
        <v>0.3</v>
      </c>
      <c r="M61">
        <v>11</v>
      </c>
      <c r="N61">
        <v>66</v>
      </c>
      <c r="O61">
        <v>77</v>
      </c>
      <c r="P61" s="2">
        <v>0.2424</v>
      </c>
      <c r="Q61" s="2">
        <v>0.28360000000000002</v>
      </c>
      <c r="R61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62" spans="1:18" ht="14.25" x14ac:dyDescent="0.2">
      <c r="A62">
        <v>61</v>
      </c>
      <c r="B62" s="5">
        <v>40546</v>
      </c>
      <c r="C62">
        <v>1</v>
      </c>
      <c r="D62">
        <v>15</v>
      </c>
      <c r="E62" t="b">
        <v>0</v>
      </c>
      <c r="F62">
        <v>1</v>
      </c>
      <c r="G62">
        <v>1</v>
      </c>
      <c r="H62">
        <v>0.26</v>
      </c>
      <c r="I62" t="s">
        <v>5</v>
      </c>
      <c r="J62" t="s">
        <v>19</v>
      </c>
      <c r="K62" t="s">
        <v>22</v>
      </c>
      <c r="L62">
        <v>0.3</v>
      </c>
      <c r="M62">
        <v>14</v>
      </c>
      <c r="N62">
        <v>58</v>
      </c>
      <c r="O62">
        <v>72</v>
      </c>
      <c r="P62" s="2">
        <v>0.2424</v>
      </c>
      <c r="Q62" s="2">
        <v>0.25369999999999998</v>
      </c>
      <c r="R62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63" spans="1:18" ht="14.25" x14ac:dyDescent="0.2">
      <c r="A63">
        <v>62</v>
      </c>
      <c r="B63" s="5">
        <v>40546</v>
      </c>
      <c r="C63">
        <v>1</v>
      </c>
      <c r="D63">
        <v>16</v>
      </c>
      <c r="E63" t="b">
        <v>0</v>
      </c>
      <c r="F63">
        <v>1</v>
      </c>
      <c r="G63">
        <v>1</v>
      </c>
      <c r="H63">
        <v>0.26</v>
      </c>
      <c r="I63" t="s">
        <v>5</v>
      </c>
      <c r="J63" t="s">
        <v>19</v>
      </c>
      <c r="K63" t="s">
        <v>22</v>
      </c>
      <c r="L63">
        <v>0.3</v>
      </c>
      <c r="M63">
        <v>9</v>
      </c>
      <c r="N63">
        <v>67</v>
      </c>
      <c r="O63">
        <v>76</v>
      </c>
      <c r="P63" s="2">
        <v>0.2424</v>
      </c>
      <c r="Q63" s="2">
        <v>0.25369999999999998</v>
      </c>
      <c r="R63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64" spans="1:18" ht="14.25" x14ac:dyDescent="0.2">
      <c r="A64">
        <v>63</v>
      </c>
      <c r="B64" s="5">
        <v>40546</v>
      </c>
      <c r="C64">
        <v>1</v>
      </c>
      <c r="D64">
        <v>17</v>
      </c>
      <c r="E64" t="b">
        <v>0</v>
      </c>
      <c r="F64">
        <v>1</v>
      </c>
      <c r="G64">
        <v>1</v>
      </c>
      <c r="H64">
        <v>0.24</v>
      </c>
      <c r="I64" t="s">
        <v>5</v>
      </c>
      <c r="J64" t="s">
        <v>19</v>
      </c>
      <c r="K64" t="s">
        <v>23</v>
      </c>
      <c r="L64">
        <v>0.3</v>
      </c>
      <c r="M64">
        <v>11</v>
      </c>
      <c r="N64">
        <v>146</v>
      </c>
      <c r="O64">
        <v>157</v>
      </c>
      <c r="P64" s="2">
        <v>0.2273</v>
      </c>
      <c r="Q64" s="2">
        <v>0.22389999999999999</v>
      </c>
      <c r="R64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65" spans="1:18" ht="14.25" x14ac:dyDescent="0.2">
      <c r="A65">
        <v>64</v>
      </c>
      <c r="B65" s="5">
        <v>40546</v>
      </c>
      <c r="C65">
        <v>1</v>
      </c>
      <c r="D65">
        <v>18</v>
      </c>
      <c r="E65" t="b">
        <v>0</v>
      </c>
      <c r="F65">
        <v>1</v>
      </c>
      <c r="G65">
        <v>1</v>
      </c>
      <c r="H65">
        <v>0.24</v>
      </c>
      <c r="I65" t="s">
        <v>5</v>
      </c>
      <c r="J65" t="s">
        <v>19</v>
      </c>
      <c r="K65" t="s">
        <v>23</v>
      </c>
      <c r="L65">
        <v>0.32</v>
      </c>
      <c r="M65">
        <v>9</v>
      </c>
      <c r="N65">
        <v>148</v>
      </c>
      <c r="O65">
        <v>157</v>
      </c>
      <c r="P65" s="2">
        <v>0.2576</v>
      </c>
      <c r="Q65" s="2">
        <v>0.1045</v>
      </c>
      <c r="R65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66" spans="1:18" ht="14.25" x14ac:dyDescent="0.2">
      <c r="A66">
        <v>65</v>
      </c>
      <c r="B66" s="5">
        <v>40546</v>
      </c>
      <c r="C66">
        <v>1</v>
      </c>
      <c r="D66">
        <v>19</v>
      </c>
      <c r="E66" t="b">
        <v>0</v>
      </c>
      <c r="F66">
        <v>1</v>
      </c>
      <c r="G66">
        <v>1</v>
      </c>
      <c r="H66">
        <v>0.2</v>
      </c>
      <c r="I66" t="s">
        <v>5</v>
      </c>
      <c r="J66" t="s">
        <v>19</v>
      </c>
      <c r="K66" t="s">
        <v>23</v>
      </c>
      <c r="L66">
        <v>0.47</v>
      </c>
      <c r="M66">
        <v>8</v>
      </c>
      <c r="N66">
        <v>102</v>
      </c>
      <c r="O66">
        <v>110</v>
      </c>
      <c r="P66" s="2">
        <v>0.2576</v>
      </c>
      <c r="Q66" s="2">
        <v>0</v>
      </c>
      <c r="R66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67" spans="1:18" ht="14.25" x14ac:dyDescent="0.2">
      <c r="A67">
        <v>66</v>
      </c>
      <c r="B67" s="5">
        <v>40546</v>
      </c>
      <c r="C67">
        <v>1</v>
      </c>
      <c r="D67">
        <v>20</v>
      </c>
      <c r="E67" t="b">
        <v>0</v>
      </c>
      <c r="F67">
        <v>1</v>
      </c>
      <c r="G67">
        <v>1</v>
      </c>
      <c r="H67">
        <v>0.2</v>
      </c>
      <c r="I67" t="s">
        <v>5</v>
      </c>
      <c r="J67" t="s">
        <v>19</v>
      </c>
      <c r="K67" t="s">
        <v>23</v>
      </c>
      <c r="L67">
        <v>0.47</v>
      </c>
      <c r="M67">
        <v>3</v>
      </c>
      <c r="N67">
        <v>49</v>
      </c>
      <c r="O67">
        <v>52</v>
      </c>
      <c r="P67" s="2">
        <v>0.19993</v>
      </c>
      <c r="Q67" s="2">
        <v>0.1045</v>
      </c>
      <c r="R67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68" spans="1:18" ht="14.25" x14ac:dyDescent="0.2">
      <c r="A68">
        <v>67</v>
      </c>
      <c r="B68" s="5">
        <v>40546</v>
      </c>
      <c r="C68">
        <v>1</v>
      </c>
      <c r="D68">
        <v>21</v>
      </c>
      <c r="E68" t="b">
        <v>0</v>
      </c>
      <c r="F68">
        <v>1</v>
      </c>
      <c r="G68">
        <v>1</v>
      </c>
      <c r="H68">
        <v>0.18</v>
      </c>
      <c r="I68" t="s">
        <v>5</v>
      </c>
      <c r="J68" t="s">
        <v>19</v>
      </c>
      <c r="K68" t="s">
        <v>25</v>
      </c>
      <c r="L68">
        <v>0.64</v>
      </c>
      <c r="M68">
        <v>3</v>
      </c>
      <c r="N68">
        <v>49</v>
      </c>
      <c r="O68">
        <v>52</v>
      </c>
      <c r="P68" s="2">
        <v>0.19700000000000001</v>
      </c>
      <c r="Q68" s="2">
        <v>0.1343</v>
      </c>
      <c r="R68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69" spans="1:18" ht="14.25" x14ac:dyDescent="0.2">
      <c r="A69">
        <v>68</v>
      </c>
      <c r="B69" s="5">
        <v>40546</v>
      </c>
      <c r="C69">
        <v>1</v>
      </c>
      <c r="D69">
        <v>22</v>
      </c>
      <c r="E69" t="b">
        <v>0</v>
      </c>
      <c r="F69">
        <v>1</v>
      </c>
      <c r="G69">
        <v>1</v>
      </c>
      <c r="H69">
        <v>0.14000000000000001</v>
      </c>
      <c r="I69" t="s">
        <v>5</v>
      </c>
      <c r="J69" t="s">
        <v>19</v>
      </c>
      <c r="K69" t="s">
        <v>25</v>
      </c>
      <c r="L69">
        <v>0.69</v>
      </c>
      <c r="M69">
        <v>0</v>
      </c>
      <c r="N69">
        <v>20</v>
      </c>
      <c r="O69">
        <v>20</v>
      </c>
      <c r="P69" s="2">
        <v>0.1515</v>
      </c>
      <c r="Q69" s="2">
        <v>0.1343</v>
      </c>
      <c r="R69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70" spans="1:18" ht="14.25" x14ac:dyDescent="0.2">
      <c r="A70">
        <v>69</v>
      </c>
      <c r="B70" s="5">
        <v>40546</v>
      </c>
      <c r="C70">
        <v>1</v>
      </c>
      <c r="D70">
        <v>23</v>
      </c>
      <c r="E70" t="b">
        <v>0</v>
      </c>
      <c r="F70">
        <v>1</v>
      </c>
      <c r="G70">
        <v>1</v>
      </c>
      <c r="H70">
        <v>0.18</v>
      </c>
      <c r="I70" t="s">
        <v>5</v>
      </c>
      <c r="J70" t="s">
        <v>19</v>
      </c>
      <c r="K70" t="s">
        <v>25</v>
      </c>
      <c r="L70">
        <v>0.55000000000000004</v>
      </c>
      <c r="M70">
        <v>1</v>
      </c>
      <c r="N70">
        <v>11</v>
      </c>
      <c r="O70">
        <v>12</v>
      </c>
      <c r="P70" s="2">
        <v>0.21210000000000001</v>
      </c>
      <c r="Q70" s="2">
        <v>0.1045</v>
      </c>
      <c r="R70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71" spans="1:18" ht="14.25" x14ac:dyDescent="0.2">
      <c r="A71">
        <v>70</v>
      </c>
      <c r="B71" s="5">
        <v>40547</v>
      </c>
      <c r="C71">
        <v>1</v>
      </c>
      <c r="D71">
        <v>0</v>
      </c>
      <c r="E71" t="b">
        <v>0</v>
      </c>
      <c r="F71">
        <v>2</v>
      </c>
      <c r="G71">
        <v>1</v>
      </c>
      <c r="H71">
        <v>0.16</v>
      </c>
      <c r="I71" t="s">
        <v>5</v>
      </c>
      <c r="J71" t="s">
        <v>19</v>
      </c>
      <c r="K71" t="s">
        <v>20</v>
      </c>
      <c r="L71">
        <v>0.55000000000000004</v>
      </c>
      <c r="M71">
        <v>0</v>
      </c>
      <c r="N71">
        <v>5</v>
      </c>
      <c r="O71">
        <v>5</v>
      </c>
      <c r="P71" s="2">
        <v>0.19993</v>
      </c>
      <c r="Q71" s="2">
        <v>0.1045</v>
      </c>
      <c r="R71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72" spans="1:18" ht="14.25" x14ac:dyDescent="0.2">
      <c r="A72">
        <v>71</v>
      </c>
      <c r="B72" s="5">
        <v>40547</v>
      </c>
      <c r="C72">
        <v>1</v>
      </c>
      <c r="D72">
        <v>1</v>
      </c>
      <c r="E72" t="b">
        <v>0</v>
      </c>
      <c r="F72">
        <v>2</v>
      </c>
      <c r="G72">
        <v>1</v>
      </c>
      <c r="H72">
        <v>0.16</v>
      </c>
      <c r="I72" t="s">
        <v>5</v>
      </c>
      <c r="J72" t="s">
        <v>19</v>
      </c>
      <c r="K72" t="s">
        <v>20</v>
      </c>
      <c r="L72">
        <v>0.59</v>
      </c>
      <c r="M72">
        <v>0</v>
      </c>
      <c r="N72">
        <v>2</v>
      </c>
      <c r="O72">
        <v>2</v>
      </c>
      <c r="P72" s="2">
        <v>0.18179999999999999</v>
      </c>
      <c r="Q72" s="2">
        <v>0.1045</v>
      </c>
      <c r="R72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73" spans="1:18" ht="14.25" x14ac:dyDescent="0.2">
      <c r="A73">
        <v>72</v>
      </c>
      <c r="B73" s="5">
        <v>40547</v>
      </c>
      <c r="C73">
        <v>1</v>
      </c>
      <c r="D73">
        <v>2</v>
      </c>
      <c r="E73" t="b">
        <v>0</v>
      </c>
      <c r="F73">
        <v>2</v>
      </c>
      <c r="G73">
        <v>1</v>
      </c>
      <c r="H73">
        <v>0.14000000000000001</v>
      </c>
      <c r="I73" t="s">
        <v>5</v>
      </c>
      <c r="J73" t="s">
        <v>19</v>
      </c>
      <c r="K73" t="s">
        <v>20</v>
      </c>
      <c r="L73">
        <v>0.63</v>
      </c>
      <c r="M73">
        <v>0</v>
      </c>
      <c r="N73">
        <v>1</v>
      </c>
      <c r="O73">
        <v>1</v>
      </c>
      <c r="P73" s="2">
        <v>0.1515</v>
      </c>
      <c r="Q73" s="2">
        <v>0.1343</v>
      </c>
      <c r="R73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74" spans="1:18" ht="14.25" x14ac:dyDescent="0.2">
      <c r="A74">
        <v>73</v>
      </c>
      <c r="B74" s="5">
        <v>40547</v>
      </c>
      <c r="C74">
        <v>1</v>
      </c>
      <c r="D74">
        <v>4</v>
      </c>
      <c r="E74" t="b">
        <v>0</v>
      </c>
      <c r="F74">
        <v>2</v>
      </c>
      <c r="G74">
        <v>1</v>
      </c>
      <c r="H74">
        <v>0.14000000000000001</v>
      </c>
      <c r="I74" t="s">
        <v>5</v>
      </c>
      <c r="J74" t="s">
        <v>19</v>
      </c>
      <c r="K74" t="s">
        <v>20</v>
      </c>
      <c r="L74">
        <v>0.63</v>
      </c>
      <c r="M74">
        <v>0</v>
      </c>
      <c r="N74">
        <v>2</v>
      </c>
      <c r="O74">
        <v>2</v>
      </c>
      <c r="P74" s="2">
        <v>0.18179999999999999</v>
      </c>
      <c r="Q74" s="2">
        <v>8.9599999999999999E-2</v>
      </c>
      <c r="R74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75" spans="1:18" ht="14.25" x14ac:dyDescent="0.2">
      <c r="A75">
        <v>74</v>
      </c>
      <c r="B75" s="5">
        <v>40547</v>
      </c>
      <c r="C75">
        <v>1</v>
      </c>
      <c r="D75">
        <v>5</v>
      </c>
      <c r="E75" t="b">
        <v>0</v>
      </c>
      <c r="F75">
        <v>2</v>
      </c>
      <c r="G75">
        <v>1</v>
      </c>
      <c r="H75">
        <v>0.12</v>
      </c>
      <c r="I75" t="s">
        <v>5</v>
      </c>
      <c r="J75" t="s">
        <v>19</v>
      </c>
      <c r="K75" t="s">
        <v>20</v>
      </c>
      <c r="L75">
        <v>0.68</v>
      </c>
      <c r="M75">
        <v>0</v>
      </c>
      <c r="N75">
        <v>4</v>
      </c>
      <c r="O75">
        <v>4</v>
      </c>
      <c r="P75" s="2">
        <v>0.1515</v>
      </c>
      <c r="Q75" s="2">
        <v>0.1045</v>
      </c>
      <c r="R75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76" spans="1:18" ht="14.25" x14ac:dyDescent="0.2">
      <c r="A76">
        <v>75</v>
      </c>
      <c r="B76" s="5">
        <v>40547</v>
      </c>
      <c r="C76">
        <v>1</v>
      </c>
      <c r="D76">
        <v>6</v>
      </c>
      <c r="E76" t="b">
        <v>0</v>
      </c>
      <c r="F76">
        <v>2</v>
      </c>
      <c r="G76">
        <v>1</v>
      </c>
      <c r="H76">
        <v>0.12</v>
      </c>
      <c r="I76" t="s">
        <v>5</v>
      </c>
      <c r="J76" t="s">
        <v>19</v>
      </c>
      <c r="K76" t="s">
        <v>20</v>
      </c>
      <c r="L76">
        <v>0.74</v>
      </c>
      <c r="M76">
        <v>0</v>
      </c>
      <c r="N76">
        <v>36</v>
      </c>
      <c r="O76">
        <v>36</v>
      </c>
      <c r="P76" s="2">
        <v>0.1515</v>
      </c>
      <c r="Q76" s="2">
        <v>0.1045</v>
      </c>
      <c r="R76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77" spans="1:18" ht="14.25" x14ac:dyDescent="0.2">
      <c r="A77">
        <v>76</v>
      </c>
      <c r="B77" s="5">
        <v>40547</v>
      </c>
      <c r="C77">
        <v>1</v>
      </c>
      <c r="D77">
        <v>7</v>
      </c>
      <c r="E77" t="b">
        <v>0</v>
      </c>
      <c r="F77">
        <v>2</v>
      </c>
      <c r="G77">
        <v>1</v>
      </c>
      <c r="H77">
        <v>0.12</v>
      </c>
      <c r="I77" t="s">
        <v>5</v>
      </c>
      <c r="J77" t="s">
        <v>19</v>
      </c>
      <c r="K77" t="s">
        <v>20</v>
      </c>
      <c r="L77">
        <v>0.74</v>
      </c>
      <c r="M77">
        <v>2</v>
      </c>
      <c r="N77">
        <v>92</v>
      </c>
      <c r="O77">
        <v>94</v>
      </c>
      <c r="P77" s="2">
        <v>0.1515</v>
      </c>
      <c r="Q77" s="2">
        <v>0.1343</v>
      </c>
      <c r="R77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78" spans="1:18" ht="14.25" x14ac:dyDescent="0.2">
      <c r="A78">
        <v>77</v>
      </c>
      <c r="B78" s="5">
        <v>40547</v>
      </c>
      <c r="C78">
        <v>1</v>
      </c>
      <c r="D78">
        <v>8</v>
      </c>
      <c r="E78" t="b">
        <v>0</v>
      </c>
      <c r="F78">
        <v>2</v>
      </c>
      <c r="G78">
        <v>1</v>
      </c>
      <c r="H78">
        <v>0.14000000000000001</v>
      </c>
      <c r="I78" t="s">
        <v>5</v>
      </c>
      <c r="J78" t="s">
        <v>19</v>
      </c>
      <c r="K78" t="s">
        <v>20</v>
      </c>
      <c r="L78">
        <v>0.69</v>
      </c>
      <c r="M78">
        <v>2</v>
      </c>
      <c r="N78">
        <v>177</v>
      </c>
      <c r="O78">
        <v>179</v>
      </c>
      <c r="P78" s="2">
        <v>0.1515</v>
      </c>
      <c r="Q78" s="2">
        <v>0.16420000000000001</v>
      </c>
      <c r="R78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79" spans="1:18" ht="14.25" x14ac:dyDescent="0.2">
      <c r="A79">
        <v>78</v>
      </c>
      <c r="B79" s="5">
        <v>40547</v>
      </c>
      <c r="C79">
        <v>1</v>
      </c>
      <c r="D79">
        <v>9</v>
      </c>
      <c r="E79" t="b">
        <v>0</v>
      </c>
      <c r="F79">
        <v>2</v>
      </c>
      <c r="G79">
        <v>1</v>
      </c>
      <c r="H79">
        <v>0.16</v>
      </c>
      <c r="I79" t="s">
        <v>5</v>
      </c>
      <c r="J79" t="s">
        <v>19</v>
      </c>
      <c r="K79" t="s">
        <v>20</v>
      </c>
      <c r="L79">
        <v>0.64</v>
      </c>
      <c r="M79">
        <v>2</v>
      </c>
      <c r="N79">
        <v>98</v>
      </c>
      <c r="O79">
        <v>100</v>
      </c>
      <c r="P79" s="2">
        <v>0.1515</v>
      </c>
      <c r="Q79" s="2">
        <v>0.22389999999999999</v>
      </c>
      <c r="R79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80" spans="1:18" ht="14.25" x14ac:dyDescent="0.2">
      <c r="A80">
        <v>79</v>
      </c>
      <c r="B80" s="5">
        <v>40547</v>
      </c>
      <c r="C80">
        <v>1</v>
      </c>
      <c r="D80">
        <v>10</v>
      </c>
      <c r="E80" t="b">
        <v>0</v>
      </c>
      <c r="F80">
        <v>2</v>
      </c>
      <c r="G80">
        <v>2</v>
      </c>
      <c r="H80">
        <v>0.16</v>
      </c>
      <c r="I80" t="s">
        <v>5</v>
      </c>
      <c r="J80" t="s">
        <v>21</v>
      </c>
      <c r="K80" t="s">
        <v>20</v>
      </c>
      <c r="L80">
        <v>0.69</v>
      </c>
      <c r="M80">
        <v>5</v>
      </c>
      <c r="N80">
        <v>37</v>
      </c>
      <c r="O80">
        <v>42</v>
      </c>
      <c r="P80" s="2">
        <v>0.13639999999999999</v>
      </c>
      <c r="Q80" s="2">
        <v>0.32840000000000003</v>
      </c>
      <c r="R80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81" spans="1:18" ht="14.25" x14ac:dyDescent="0.2">
      <c r="A81">
        <v>80</v>
      </c>
      <c r="B81" s="5">
        <v>40547</v>
      </c>
      <c r="C81">
        <v>1</v>
      </c>
      <c r="D81">
        <v>11</v>
      </c>
      <c r="E81" t="b">
        <v>0</v>
      </c>
      <c r="F81">
        <v>2</v>
      </c>
      <c r="G81">
        <v>1</v>
      </c>
      <c r="H81">
        <v>0.22</v>
      </c>
      <c r="I81" t="s">
        <v>5</v>
      </c>
      <c r="J81" t="s">
        <v>19</v>
      </c>
      <c r="K81" t="s">
        <v>20</v>
      </c>
      <c r="L81">
        <v>0.51</v>
      </c>
      <c r="M81">
        <v>7</v>
      </c>
      <c r="N81">
        <v>50</v>
      </c>
      <c r="O81">
        <v>57</v>
      </c>
      <c r="P81" s="2">
        <v>0.21210000000000001</v>
      </c>
      <c r="Q81" s="2">
        <v>0.29849999999999999</v>
      </c>
      <c r="R81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82" spans="1:18" ht="14.25" x14ac:dyDescent="0.2">
      <c r="A82">
        <v>81</v>
      </c>
      <c r="B82" s="5">
        <v>40547</v>
      </c>
      <c r="C82">
        <v>1</v>
      </c>
      <c r="D82">
        <v>12</v>
      </c>
      <c r="E82" t="b">
        <v>0</v>
      </c>
      <c r="F82">
        <v>2</v>
      </c>
      <c r="G82">
        <v>1</v>
      </c>
      <c r="H82">
        <v>0.22</v>
      </c>
      <c r="I82" t="s">
        <v>5</v>
      </c>
      <c r="J82" t="s">
        <v>19</v>
      </c>
      <c r="K82" t="s">
        <v>22</v>
      </c>
      <c r="L82">
        <v>0.51</v>
      </c>
      <c r="M82">
        <v>12</v>
      </c>
      <c r="N82">
        <v>66</v>
      </c>
      <c r="O82">
        <v>78</v>
      </c>
      <c r="P82" s="2">
        <v>0.2273</v>
      </c>
      <c r="Q82" s="2">
        <v>0.16420000000000001</v>
      </c>
      <c r="R82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83" spans="1:18" ht="14.25" x14ac:dyDescent="0.2">
      <c r="A83">
        <v>82</v>
      </c>
      <c r="B83" s="5">
        <v>40547</v>
      </c>
      <c r="C83">
        <v>1</v>
      </c>
      <c r="D83">
        <v>13</v>
      </c>
      <c r="E83" t="b">
        <v>0</v>
      </c>
      <c r="F83">
        <v>2</v>
      </c>
      <c r="G83">
        <v>1</v>
      </c>
      <c r="H83">
        <v>0.24</v>
      </c>
      <c r="I83" t="s">
        <v>5</v>
      </c>
      <c r="J83" t="s">
        <v>19</v>
      </c>
      <c r="K83" t="s">
        <v>22</v>
      </c>
      <c r="L83">
        <v>0.56000000000000005</v>
      </c>
      <c r="M83">
        <v>18</v>
      </c>
      <c r="N83">
        <v>79</v>
      </c>
      <c r="O83">
        <v>97</v>
      </c>
      <c r="P83" s="2">
        <v>0.2273</v>
      </c>
      <c r="Q83" s="2">
        <v>0.19400000000000001</v>
      </c>
      <c r="R83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84" spans="1:18" ht="14.25" x14ac:dyDescent="0.2">
      <c r="A84">
        <v>83</v>
      </c>
      <c r="B84" s="5">
        <v>40547</v>
      </c>
      <c r="C84">
        <v>1</v>
      </c>
      <c r="D84">
        <v>14</v>
      </c>
      <c r="E84" t="b">
        <v>0</v>
      </c>
      <c r="F84">
        <v>2</v>
      </c>
      <c r="G84">
        <v>1</v>
      </c>
      <c r="H84">
        <v>0.26</v>
      </c>
      <c r="I84" t="s">
        <v>5</v>
      </c>
      <c r="J84" t="s">
        <v>19</v>
      </c>
      <c r="K84" t="s">
        <v>22</v>
      </c>
      <c r="L84">
        <v>0.52</v>
      </c>
      <c r="M84">
        <v>9</v>
      </c>
      <c r="N84">
        <v>54</v>
      </c>
      <c r="O84">
        <v>63</v>
      </c>
      <c r="P84" s="2">
        <v>0.2576</v>
      </c>
      <c r="Q84" s="2">
        <v>0.22389999999999999</v>
      </c>
      <c r="R84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85" spans="1:18" ht="14.25" x14ac:dyDescent="0.2">
      <c r="A85">
        <v>84</v>
      </c>
      <c r="B85" s="5">
        <v>40547</v>
      </c>
      <c r="C85">
        <v>1</v>
      </c>
      <c r="D85">
        <v>15</v>
      </c>
      <c r="E85" t="b">
        <v>0</v>
      </c>
      <c r="F85">
        <v>2</v>
      </c>
      <c r="G85">
        <v>1</v>
      </c>
      <c r="H85">
        <v>0.28000000000000003</v>
      </c>
      <c r="I85" t="s">
        <v>5</v>
      </c>
      <c r="J85" t="s">
        <v>19</v>
      </c>
      <c r="K85" t="s">
        <v>22</v>
      </c>
      <c r="L85">
        <v>0.52</v>
      </c>
      <c r="M85">
        <v>17</v>
      </c>
      <c r="N85">
        <v>48</v>
      </c>
      <c r="O85">
        <v>65</v>
      </c>
      <c r="P85" s="2">
        <v>0.2727</v>
      </c>
      <c r="Q85" s="2">
        <v>0.25369999999999998</v>
      </c>
      <c r="R85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86" spans="1:18" ht="14.25" x14ac:dyDescent="0.2">
      <c r="A86">
        <v>85</v>
      </c>
      <c r="B86" s="5">
        <v>40547</v>
      </c>
      <c r="C86">
        <v>1</v>
      </c>
      <c r="D86">
        <v>16</v>
      </c>
      <c r="E86" t="b">
        <v>0</v>
      </c>
      <c r="F86">
        <v>2</v>
      </c>
      <c r="G86">
        <v>1</v>
      </c>
      <c r="H86">
        <v>0.3</v>
      </c>
      <c r="I86" t="s">
        <v>5</v>
      </c>
      <c r="J86" t="s">
        <v>19</v>
      </c>
      <c r="K86" t="s">
        <v>22</v>
      </c>
      <c r="L86">
        <v>0.49</v>
      </c>
      <c r="M86">
        <v>15</v>
      </c>
      <c r="N86">
        <v>68</v>
      </c>
      <c r="O86">
        <v>83</v>
      </c>
      <c r="P86" s="2">
        <v>0.28789999999999999</v>
      </c>
      <c r="Q86" s="2">
        <v>0.25369999999999998</v>
      </c>
      <c r="R86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87" spans="1:18" ht="14.25" x14ac:dyDescent="0.2">
      <c r="A87">
        <v>86</v>
      </c>
      <c r="B87" s="5">
        <v>40547</v>
      </c>
      <c r="C87">
        <v>1</v>
      </c>
      <c r="D87">
        <v>17</v>
      </c>
      <c r="E87" t="b">
        <v>0</v>
      </c>
      <c r="F87">
        <v>2</v>
      </c>
      <c r="G87">
        <v>1</v>
      </c>
      <c r="H87">
        <v>0.28000000000000003</v>
      </c>
      <c r="I87" t="s">
        <v>5</v>
      </c>
      <c r="J87" t="s">
        <v>19</v>
      </c>
      <c r="K87" t="s">
        <v>23</v>
      </c>
      <c r="L87">
        <v>0.48</v>
      </c>
      <c r="M87">
        <v>10</v>
      </c>
      <c r="N87">
        <v>202</v>
      </c>
      <c r="O87">
        <v>212</v>
      </c>
      <c r="P87" s="2">
        <v>0.2727</v>
      </c>
      <c r="Q87" s="2">
        <v>0.22389999999999999</v>
      </c>
      <c r="R87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88" spans="1:18" ht="14.25" x14ac:dyDescent="0.2">
      <c r="A88">
        <v>87</v>
      </c>
      <c r="B88" s="5">
        <v>40547</v>
      </c>
      <c r="C88">
        <v>1</v>
      </c>
      <c r="D88">
        <v>18</v>
      </c>
      <c r="E88" t="b">
        <v>0</v>
      </c>
      <c r="F88">
        <v>2</v>
      </c>
      <c r="G88">
        <v>1</v>
      </c>
      <c r="H88">
        <v>0.26</v>
      </c>
      <c r="I88" t="s">
        <v>5</v>
      </c>
      <c r="J88" t="s">
        <v>19</v>
      </c>
      <c r="K88" t="s">
        <v>23</v>
      </c>
      <c r="L88">
        <v>0.48</v>
      </c>
      <c r="M88">
        <v>3</v>
      </c>
      <c r="N88">
        <v>179</v>
      </c>
      <c r="O88">
        <v>182</v>
      </c>
      <c r="P88" s="2">
        <v>0.2576</v>
      </c>
      <c r="Q88" s="2">
        <v>0.19400000000000001</v>
      </c>
      <c r="R88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89" spans="1:18" ht="14.25" x14ac:dyDescent="0.2">
      <c r="A89">
        <v>88</v>
      </c>
      <c r="B89" s="5">
        <v>40547</v>
      </c>
      <c r="C89">
        <v>1</v>
      </c>
      <c r="D89">
        <v>19</v>
      </c>
      <c r="E89" t="b">
        <v>0</v>
      </c>
      <c r="F89">
        <v>2</v>
      </c>
      <c r="G89">
        <v>1</v>
      </c>
      <c r="H89">
        <v>0.24</v>
      </c>
      <c r="I89" t="s">
        <v>5</v>
      </c>
      <c r="J89" t="s">
        <v>19</v>
      </c>
      <c r="K89" t="s">
        <v>23</v>
      </c>
      <c r="L89">
        <v>0.48</v>
      </c>
      <c r="M89">
        <v>2</v>
      </c>
      <c r="N89">
        <v>110</v>
      </c>
      <c r="O89">
        <v>112</v>
      </c>
      <c r="P89" s="2">
        <v>0.2576</v>
      </c>
      <c r="Q89" s="2">
        <v>0.1045</v>
      </c>
      <c r="R89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90" spans="1:18" ht="14.25" x14ac:dyDescent="0.2">
      <c r="A90">
        <v>89</v>
      </c>
      <c r="B90" s="5">
        <v>40547</v>
      </c>
      <c r="C90">
        <v>1</v>
      </c>
      <c r="D90">
        <v>20</v>
      </c>
      <c r="E90" t="b">
        <v>0</v>
      </c>
      <c r="F90">
        <v>2</v>
      </c>
      <c r="G90">
        <v>1</v>
      </c>
      <c r="H90">
        <v>0.24</v>
      </c>
      <c r="I90" t="s">
        <v>5</v>
      </c>
      <c r="J90" t="s">
        <v>19</v>
      </c>
      <c r="K90" t="s">
        <v>23</v>
      </c>
      <c r="L90">
        <v>0.48</v>
      </c>
      <c r="M90">
        <v>1</v>
      </c>
      <c r="N90">
        <v>53</v>
      </c>
      <c r="O90">
        <v>54</v>
      </c>
      <c r="P90" s="2">
        <v>0.2576</v>
      </c>
      <c r="Q90" s="2">
        <v>0.1045</v>
      </c>
      <c r="R90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91" spans="1:18" ht="14.25" x14ac:dyDescent="0.2">
      <c r="A91">
        <v>90</v>
      </c>
      <c r="B91" s="5">
        <v>40547</v>
      </c>
      <c r="C91">
        <v>1</v>
      </c>
      <c r="D91">
        <v>21</v>
      </c>
      <c r="E91" t="b">
        <v>0</v>
      </c>
      <c r="F91">
        <v>2</v>
      </c>
      <c r="G91">
        <v>1</v>
      </c>
      <c r="H91">
        <v>0.22</v>
      </c>
      <c r="I91" t="s">
        <v>5</v>
      </c>
      <c r="J91" t="s">
        <v>19</v>
      </c>
      <c r="K91" t="s">
        <v>25</v>
      </c>
      <c r="L91">
        <v>0.64</v>
      </c>
      <c r="M91">
        <v>0</v>
      </c>
      <c r="N91">
        <v>48</v>
      </c>
      <c r="O91">
        <v>48</v>
      </c>
      <c r="P91" s="2">
        <v>0.2727</v>
      </c>
      <c r="Q91" s="2">
        <v>0</v>
      </c>
      <c r="R91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92" spans="1:18" ht="14.25" x14ac:dyDescent="0.2">
      <c r="A92">
        <v>91</v>
      </c>
      <c r="B92" s="5">
        <v>40547</v>
      </c>
      <c r="C92">
        <v>1</v>
      </c>
      <c r="D92">
        <v>22</v>
      </c>
      <c r="E92" t="b">
        <v>0</v>
      </c>
      <c r="F92">
        <v>2</v>
      </c>
      <c r="G92">
        <v>1</v>
      </c>
      <c r="H92">
        <v>0.22</v>
      </c>
      <c r="I92" t="s">
        <v>5</v>
      </c>
      <c r="J92" t="s">
        <v>19</v>
      </c>
      <c r="K92" t="s">
        <v>25</v>
      </c>
      <c r="L92">
        <v>0.64</v>
      </c>
      <c r="M92">
        <v>1</v>
      </c>
      <c r="N92">
        <v>34</v>
      </c>
      <c r="O92">
        <v>35</v>
      </c>
      <c r="P92" s="2">
        <v>0.2576</v>
      </c>
      <c r="Q92" s="2">
        <v>8.9599999999999999E-2</v>
      </c>
      <c r="R92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93" spans="1:18" ht="14.25" x14ac:dyDescent="0.2">
      <c r="A93">
        <v>92</v>
      </c>
      <c r="B93" s="5">
        <v>40547</v>
      </c>
      <c r="C93">
        <v>1</v>
      </c>
      <c r="D93">
        <v>23</v>
      </c>
      <c r="E93" t="b">
        <v>0</v>
      </c>
      <c r="F93">
        <v>2</v>
      </c>
      <c r="G93">
        <v>1</v>
      </c>
      <c r="H93">
        <v>0.2</v>
      </c>
      <c r="I93" t="s">
        <v>5</v>
      </c>
      <c r="J93" t="s">
        <v>19</v>
      </c>
      <c r="K93" t="s">
        <v>25</v>
      </c>
      <c r="L93">
        <v>0.69</v>
      </c>
      <c r="M93">
        <v>2</v>
      </c>
      <c r="N93">
        <v>9</v>
      </c>
      <c r="O93">
        <v>11</v>
      </c>
      <c r="P93" s="2">
        <v>0.2273</v>
      </c>
      <c r="Q93" s="2">
        <v>8.9599999999999999E-2</v>
      </c>
      <c r="R93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94" spans="1:18" ht="14.25" x14ac:dyDescent="0.2">
      <c r="A94">
        <v>93</v>
      </c>
      <c r="B94" s="5">
        <v>40548</v>
      </c>
      <c r="C94">
        <v>1</v>
      </c>
      <c r="D94">
        <v>0</v>
      </c>
      <c r="E94" t="b">
        <v>0</v>
      </c>
      <c r="F94">
        <v>3</v>
      </c>
      <c r="G94">
        <v>1</v>
      </c>
      <c r="H94">
        <v>0.2</v>
      </c>
      <c r="I94" t="s">
        <v>5</v>
      </c>
      <c r="J94" t="s">
        <v>19</v>
      </c>
      <c r="K94" t="s">
        <v>20</v>
      </c>
      <c r="L94">
        <v>0.64</v>
      </c>
      <c r="M94">
        <v>0</v>
      </c>
      <c r="N94">
        <v>6</v>
      </c>
      <c r="O94">
        <v>6</v>
      </c>
      <c r="P94" s="2">
        <v>0.2576</v>
      </c>
      <c r="Q94" s="2">
        <v>0</v>
      </c>
      <c r="R94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95" spans="1:18" ht="14.25" x14ac:dyDescent="0.2">
      <c r="A95">
        <v>94</v>
      </c>
      <c r="B95" s="5">
        <v>40548</v>
      </c>
      <c r="C95">
        <v>1</v>
      </c>
      <c r="D95">
        <v>1</v>
      </c>
      <c r="E95" t="b">
        <v>0</v>
      </c>
      <c r="F95">
        <v>3</v>
      </c>
      <c r="G95">
        <v>1</v>
      </c>
      <c r="H95">
        <v>0.16</v>
      </c>
      <c r="I95" t="s">
        <v>5</v>
      </c>
      <c r="J95" t="s">
        <v>19</v>
      </c>
      <c r="K95" t="s">
        <v>20</v>
      </c>
      <c r="L95">
        <v>0.74</v>
      </c>
      <c r="M95">
        <v>0</v>
      </c>
      <c r="N95">
        <v>6</v>
      </c>
      <c r="O95">
        <v>6</v>
      </c>
      <c r="P95" s="2">
        <v>0.19700000000000001</v>
      </c>
      <c r="Q95" s="2">
        <v>8.9599999999999999E-2</v>
      </c>
      <c r="R95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96" spans="1:18" ht="14.25" x14ac:dyDescent="0.2">
      <c r="A96">
        <v>95</v>
      </c>
      <c r="B96" s="5">
        <v>40548</v>
      </c>
      <c r="C96">
        <v>1</v>
      </c>
      <c r="D96">
        <v>2</v>
      </c>
      <c r="E96" t="b">
        <v>0</v>
      </c>
      <c r="F96">
        <v>3</v>
      </c>
      <c r="G96">
        <v>1</v>
      </c>
      <c r="H96">
        <v>0.16</v>
      </c>
      <c r="I96" t="s">
        <v>5</v>
      </c>
      <c r="J96" t="s">
        <v>19</v>
      </c>
      <c r="K96" t="s">
        <v>20</v>
      </c>
      <c r="L96">
        <v>0.74</v>
      </c>
      <c r="M96">
        <v>0</v>
      </c>
      <c r="N96">
        <v>2</v>
      </c>
      <c r="O96">
        <v>2</v>
      </c>
      <c r="P96" s="2">
        <v>0.19700000000000001</v>
      </c>
      <c r="Q96" s="2">
        <v>8.9599999999999999E-2</v>
      </c>
      <c r="R96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97" spans="1:18" ht="14.25" x14ac:dyDescent="0.2">
      <c r="A97">
        <v>96</v>
      </c>
      <c r="B97" s="5">
        <v>40548</v>
      </c>
      <c r="C97">
        <v>1</v>
      </c>
      <c r="D97">
        <v>4</v>
      </c>
      <c r="E97" t="b">
        <v>0</v>
      </c>
      <c r="F97">
        <v>3</v>
      </c>
      <c r="G97">
        <v>1</v>
      </c>
      <c r="H97">
        <v>0.24</v>
      </c>
      <c r="I97" t="s">
        <v>5</v>
      </c>
      <c r="J97" t="s">
        <v>19</v>
      </c>
      <c r="K97" t="s">
        <v>20</v>
      </c>
      <c r="L97">
        <v>0.48</v>
      </c>
      <c r="M97">
        <v>0</v>
      </c>
      <c r="N97">
        <v>2</v>
      </c>
      <c r="O97">
        <v>2</v>
      </c>
      <c r="P97" s="2">
        <v>0.2273</v>
      </c>
      <c r="Q97" s="2">
        <v>0.22389999999999999</v>
      </c>
      <c r="R97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98" spans="1:18" ht="14.25" x14ac:dyDescent="0.2">
      <c r="A98">
        <v>97</v>
      </c>
      <c r="B98" s="5">
        <v>40548</v>
      </c>
      <c r="C98">
        <v>1</v>
      </c>
      <c r="D98">
        <v>5</v>
      </c>
      <c r="E98" t="b">
        <v>0</v>
      </c>
      <c r="F98">
        <v>3</v>
      </c>
      <c r="G98">
        <v>1</v>
      </c>
      <c r="H98">
        <v>0.22</v>
      </c>
      <c r="I98" t="s">
        <v>5</v>
      </c>
      <c r="J98" t="s">
        <v>19</v>
      </c>
      <c r="K98" t="s">
        <v>20</v>
      </c>
      <c r="L98">
        <v>0.47</v>
      </c>
      <c r="M98">
        <v>0</v>
      </c>
      <c r="N98">
        <v>3</v>
      </c>
      <c r="O98">
        <v>3</v>
      </c>
      <c r="P98" s="2">
        <v>0.2273</v>
      </c>
      <c r="Q98" s="2">
        <v>0.16420000000000001</v>
      </c>
      <c r="R98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99" spans="1:18" ht="14.25" x14ac:dyDescent="0.2">
      <c r="A99">
        <v>98</v>
      </c>
      <c r="B99" s="5">
        <v>40548</v>
      </c>
      <c r="C99">
        <v>1</v>
      </c>
      <c r="D99">
        <v>6</v>
      </c>
      <c r="E99" t="b">
        <v>0</v>
      </c>
      <c r="F99">
        <v>3</v>
      </c>
      <c r="G99">
        <v>1</v>
      </c>
      <c r="H99">
        <v>0.2</v>
      </c>
      <c r="I99" t="s">
        <v>5</v>
      </c>
      <c r="J99" t="s">
        <v>19</v>
      </c>
      <c r="K99" t="s">
        <v>20</v>
      </c>
      <c r="L99">
        <v>0.47</v>
      </c>
      <c r="M99">
        <v>0</v>
      </c>
      <c r="N99">
        <v>33</v>
      </c>
      <c r="O99">
        <v>33</v>
      </c>
      <c r="P99" s="2">
        <v>0.19700000000000001</v>
      </c>
      <c r="Q99" s="2">
        <v>0.22389999999999999</v>
      </c>
      <c r="R99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100" spans="1:18" ht="14.25" x14ac:dyDescent="0.2">
      <c r="A100">
        <v>99</v>
      </c>
      <c r="B100" s="5">
        <v>40548</v>
      </c>
      <c r="C100">
        <v>1</v>
      </c>
      <c r="D100">
        <v>7</v>
      </c>
      <c r="E100" t="b">
        <v>0</v>
      </c>
      <c r="F100">
        <v>3</v>
      </c>
      <c r="G100">
        <v>1</v>
      </c>
      <c r="H100">
        <v>0.18</v>
      </c>
      <c r="I100" t="s">
        <v>5</v>
      </c>
      <c r="J100" t="s">
        <v>19</v>
      </c>
      <c r="K100" t="s">
        <v>20</v>
      </c>
      <c r="L100">
        <v>0.43</v>
      </c>
      <c r="M100">
        <v>1</v>
      </c>
      <c r="N100">
        <v>87</v>
      </c>
      <c r="O100">
        <v>88</v>
      </c>
      <c r="P100" s="2">
        <v>0.18179999999999999</v>
      </c>
      <c r="Q100" s="2">
        <v>0.19400000000000001</v>
      </c>
      <c r="R100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101" spans="1:18" ht="14.25" x14ac:dyDescent="0.2">
      <c r="A101">
        <v>100</v>
      </c>
      <c r="B101" s="5">
        <v>40548</v>
      </c>
      <c r="C101">
        <v>1</v>
      </c>
      <c r="D101">
        <v>8</v>
      </c>
      <c r="E101" t="b">
        <v>0</v>
      </c>
      <c r="F101">
        <v>3</v>
      </c>
      <c r="G101">
        <v>1</v>
      </c>
      <c r="H101">
        <v>0.2</v>
      </c>
      <c r="I101" t="s">
        <v>5</v>
      </c>
      <c r="J101" t="s">
        <v>19</v>
      </c>
      <c r="K101" t="s">
        <v>20</v>
      </c>
      <c r="L101">
        <v>0.4</v>
      </c>
      <c r="M101">
        <v>3</v>
      </c>
      <c r="N101">
        <v>192</v>
      </c>
      <c r="O101">
        <v>195</v>
      </c>
      <c r="P101" s="2">
        <v>0.18179999999999999</v>
      </c>
      <c r="Q101" s="2">
        <v>0.29849999999999999</v>
      </c>
      <c r="R101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102" spans="1:18" ht="14.25" x14ac:dyDescent="0.2">
      <c r="A102">
        <v>101</v>
      </c>
      <c r="B102" s="5">
        <v>40548</v>
      </c>
      <c r="C102">
        <v>1</v>
      </c>
      <c r="D102">
        <v>9</v>
      </c>
      <c r="E102" t="b">
        <v>0</v>
      </c>
      <c r="F102">
        <v>3</v>
      </c>
      <c r="G102">
        <v>1</v>
      </c>
      <c r="H102">
        <v>0.22</v>
      </c>
      <c r="I102" t="s">
        <v>5</v>
      </c>
      <c r="J102" t="s">
        <v>19</v>
      </c>
      <c r="K102" t="s">
        <v>20</v>
      </c>
      <c r="L102">
        <v>0.37</v>
      </c>
      <c r="M102">
        <v>6</v>
      </c>
      <c r="N102">
        <v>109</v>
      </c>
      <c r="O102">
        <v>115</v>
      </c>
      <c r="P102" s="2">
        <v>0.19700000000000001</v>
      </c>
      <c r="Q102" s="2">
        <v>0.32840000000000003</v>
      </c>
      <c r="R102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103" spans="1:18" ht="14.25" x14ac:dyDescent="0.2">
      <c r="A103">
        <v>102</v>
      </c>
      <c r="B103" s="5">
        <v>40548</v>
      </c>
      <c r="C103">
        <v>1</v>
      </c>
      <c r="D103">
        <v>10</v>
      </c>
      <c r="E103" t="b">
        <v>0</v>
      </c>
      <c r="F103">
        <v>3</v>
      </c>
      <c r="G103">
        <v>1</v>
      </c>
      <c r="H103">
        <v>0.22</v>
      </c>
      <c r="I103" t="s">
        <v>5</v>
      </c>
      <c r="J103" t="s">
        <v>19</v>
      </c>
      <c r="K103" t="s">
        <v>20</v>
      </c>
      <c r="L103">
        <v>0.37</v>
      </c>
      <c r="M103">
        <v>4</v>
      </c>
      <c r="N103">
        <v>53</v>
      </c>
      <c r="O103">
        <v>57</v>
      </c>
      <c r="P103" s="2">
        <v>0.19700000000000001</v>
      </c>
      <c r="Q103" s="2">
        <v>0.32840000000000003</v>
      </c>
      <c r="R103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104" spans="1:18" ht="14.25" x14ac:dyDescent="0.2">
      <c r="A104">
        <v>103</v>
      </c>
      <c r="B104" s="5">
        <v>40548</v>
      </c>
      <c r="C104">
        <v>1</v>
      </c>
      <c r="D104">
        <v>11</v>
      </c>
      <c r="E104" t="b">
        <v>0</v>
      </c>
      <c r="F104">
        <v>3</v>
      </c>
      <c r="G104">
        <v>1</v>
      </c>
      <c r="H104">
        <v>0.26</v>
      </c>
      <c r="I104" t="s">
        <v>5</v>
      </c>
      <c r="J104" t="s">
        <v>19</v>
      </c>
      <c r="K104" t="s">
        <v>20</v>
      </c>
      <c r="L104">
        <v>0.33</v>
      </c>
      <c r="M104">
        <v>12</v>
      </c>
      <c r="N104">
        <v>34</v>
      </c>
      <c r="O104">
        <v>46</v>
      </c>
      <c r="P104" s="2">
        <v>0.2273</v>
      </c>
      <c r="Q104" s="2">
        <v>0.32840000000000003</v>
      </c>
      <c r="R104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105" spans="1:18" ht="14.25" x14ac:dyDescent="0.2">
      <c r="A105">
        <v>104</v>
      </c>
      <c r="B105" s="5">
        <v>40548</v>
      </c>
      <c r="C105">
        <v>1</v>
      </c>
      <c r="D105">
        <v>12</v>
      </c>
      <c r="E105" t="b">
        <v>0</v>
      </c>
      <c r="F105">
        <v>3</v>
      </c>
      <c r="G105">
        <v>1</v>
      </c>
      <c r="H105">
        <v>0.26</v>
      </c>
      <c r="I105" t="s">
        <v>5</v>
      </c>
      <c r="J105" t="s">
        <v>19</v>
      </c>
      <c r="K105" t="s">
        <v>22</v>
      </c>
      <c r="L105">
        <v>0.33</v>
      </c>
      <c r="M105">
        <v>5</v>
      </c>
      <c r="N105">
        <v>74</v>
      </c>
      <c r="O105">
        <v>79</v>
      </c>
      <c r="P105" s="2">
        <v>0.2273</v>
      </c>
      <c r="Q105" s="2">
        <v>0.32840000000000003</v>
      </c>
      <c r="R105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106" spans="1:18" ht="14.25" x14ac:dyDescent="0.2">
      <c r="A106">
        <v>105</v>
      </c>
      <c r="B106" s="5">
        <v>40548</v>
      </c>
      <c r="C106">
        <v>1</v>
      </c>
      <c r="D106">
        <v>13</v>
      </c>
      <c r="E106" t="b">
        <v>0</v>
      </c>
      <c r="F106">
        <v>3</v>
      </c>
      <c r="G106">
        <v>1</v>
      </c>
      <c r="H106">
        <v>0.28000000000000003</v>
      </c>
      <c r="I106" t="s">
        <v>5</v>
      </c>
      <c r="J106" t="s">
        <v>19</v>
      </c>
      <c r="K106" t="s">
        <v>22</v>
      </c>
      <c r="L106">
        <v>0.3</v>
      </c>
      <c r="M106">
        <v>6</v>
      </c>
      <c r="N106">
        <v>65</v>
      </c>
      <c r="O106">
        <v>71</v>
      </c>
      <c r="P106" s="2">
        <v>0.2576</v>
      </c>
      <c r="Q106" s="2">
        <v>0.29849999999999999</v>
      </c>
      <c r="R106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107" spans="1:18" ht="14.25" x14ac:dyDescent="0.2">
      <c r="A107">
        <v>106</v>
      </c>
      <c r="B107" s="5">
        <v>40548</v>
      </c>
      <c r="C107">
        <v>1</v>
      </c>
      <c r="D107">
        <v>14</v>
      </c>
      <c r="E107" t="b">
        <v>0</v>
      </c>
      <c r="F107">
        <v>3</v>
      </c>
      <c r="G107">
        <v>1</v>
      </c>
      <c r="H107">
        <v>0.3</v>
      </c>
      <c r="I107" t="s">
        <v>5</v>
      </c>
      <c r="J107" t="s">
        <v>19</v>
      </c>
      <c r="K107" t="s">
        <v>22</v>
      </c>
      <c r="L107">
        <v>0.28000000000000003</v>
      </c>
      <c r="M107">
        <v>10</v>
      </c>
      <c r="N107">
        <v>52</v>
      </c>
      <c r="O107">
        <v>62</v>
      </c>
      <c r="P107" s="2">
        <v>0.28789999999999999</v>
      </c>
      <c r="Q107" s="2">
        <v>0.19400000000000001</v>
      </c>
      <c r="R107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108" spans="1:18" ht="14.25" x14ac:dyDescent="0.2">
      <c r="A108">
        <v>107</v>
      </c>
      <c r="B108" s="5">
        <v>40548</v>
      </c>
      <c r="C108">
        <v>1</v>
      </c>
      <c r="D108">
        <v>15</v>
      </c>
      <c r="E108" t="b">
        <v>0</v>
      </c>
      <c r="F108">
        <v>3</v>
      </c>
      <c r="G108">
        <v>1</v>
      </c>
      <c r="H108">
        <v>0.3</v>
      </c>
      <c r="I108" t="s">
        <v>5</v>
      </c>
      <c r="J108" t="s">
        <v>19</v>
      </c>
      <c r="K108" t="s">
        <v>22</v>
      </c>
      <c r="L108">
        <v>0.28000000000000003</v>
      </c>
      <c r="M108">
        <v>7</v>
      </c>
      <c r="N108">
        <v>55</v>
      </c>
      <c r="O108">
        <v>62</v>
      </c>
      <c r="P108" s="2">
        <v>0.28789999999999999</v>
      </c>
      <c r="Q108" s="2">
        <v>0.19400000000000001</v>
      </c>
      <c r="R108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109" spans="1:18" ht="14.25" x14ac:dyDescent="0.2">
      <c r="A109">
        <v>108</v>
      </c>
      <c r="B109" s="5">
        <v>40548</v>
      </c>
      <c r="C109">
        <v>1</v>
      </c>
      <c r="D109">
        <v>16</v>
      </c>
      <c r="E109" t="b">
        <v>0</v>
      </c>
      <c r="F109">
        <v>3</v>
      </c>
      <c r="G109">
        <v>1</v>
      </c>
      <c r="H109">
        <v>0.3</v>
      </c>
      <c r="I109" t="s">
        <v>5</v>
      </c>
      <c r="J109" t="s">
        <v>19</v>
      </c>
      <c r="K109" t="s">
        <v>22</v>
      </c>
      <c r="L109">
        <v>0.28000000000000003</v>
      </c>
      <c r="M109">
        <v>4</v>
      </c>
      <c r="N109">
        <v>85</v>
      </c>
      <c r="O109">
        <v>89</v>
      </c>
      <c r="P109" s="2">
        <v>0.31819999999999998</v>
      </c>
      <c r="Q109" s="2">
        <v>8.9599999999999999E-2</v>
      </c>
      <c r="R109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110" spans="1:18" ht="14.25" x14ac:dyDescent="0.2">
      <c r="A110">
        <v>109</v>
      </c>
      <c r="B110" s="5">
        <v>40548</v>
      </c>
      <c r="C110">
        <v>1</v>
      </c>
      <c r="D110">
        <v>17</v>
      </c>
      <c r="E110" t="b">
        <v>0</v>
      </c>
      <c r="F110">
        <v>3</v>
      </c>
      <c r="G110">
        <v>1</v>
      </c>
      <c r="H110">
        <v>0.24</v>
      </c>
      <c r="I110" t="s">
        <v>5</v>
      </c>
      <c r="J110" t="s">
        <v>19</v>
      </c>
      <c r="K110" t="s">
        <v>23</v>
      </c>
      <c r="L110">
        <v>0.38</v>
      </c>
      <c r="M110">
        <v>4</v>
      </c>
      <c r="N110">
        <v>186</v>
      </c>
      <c r="O110">
        <v>190</v>
      </c>
      <c r="P110" s="2">
        <v>0.2273</v>
      </c>
      <c r="Q110" s="2">
        <v>0.19400000000000001</v>
      </c>
      <c r="R110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111" spans="1:18" ht="14.25" x14ac:dyDescent="0.2">
      <c r="A111">
        <v>110</v>
      </c>
      <c r="B111" s="5">
        <v>40548</v>
      </c>
      <c r="C111">
        <v>1</v>
      </c>
      <c r="D111">
        <v>18</v>
      </c>
      <c r="E111" t="b">
        <v>0</v>
      </c>
      <c r="F111">
        <v>3</v>
      </c>
      <c r="G111">
        <v>1</v>
      </c>
      <c r="H111">
        <v>0.24</v>
      </c>
      <c r="I111" t="s">
        <v>5</v>
      </c>
      <c r="J111" t="s">
        <v>19</v>
      </c>
      <c r="K111" t="s">
        <v>23</v>
      </c>
      <c r="L111">
        <v>0.38</v>
      </c>
      <c r="M111">
        <v>3</v>
      </c>
      <c r="N111">
        <v>166</v>
      </c>
      <c r="O111">
        <v>169</v>
      </c>
      <c r="P111" s="2">
        <v>0.2424</v>
      </c>
      <c r="Q111" s="2">
        <v>0.1343</v>
      </c>
      <c r="R111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112" spans="1:18" ht="14.25" x14ac:dyDescent="0.2">
      <c r="A112">
        <v>111</v>
      </c>
      <c r="B112" s="5">
        <v>40548</v>
      </c>
      <c r="C112">
        <v>1</v>
      </c>
      <c r="D112">
        <v>19</v>
      </c>
      <c r="E112" t="b">
        <v>0</v>
      </c>
      <c r="F112">
        <v>3</v>
      </c>
      <c r="G112">
        <v>1</v>
      </c>
      <c r="H112">
        <v>0.24</v>
      </c>
      <c r="I112" t="s">
        <v>5</v>
      </c>
      <c r="J112" t="s">
        <v>19</v>
      </c>
      <c r="K112" t="s">
        <v>23</v>
      </c>
      <c r="L112">
        <v>0.38</v>
      </c>
      <c r="M112">
        <v>5</v>
      </c>
      <c r="N112">
        <v>127</v>
      </c>
      <c r="O112">
        <v>132</v>
      </c>
      <c r="P112" s="2">
        <v>0.2576</v>
      </c>
      <c r="Q112" s="2">
        <v>0.1045</v>
      </c>
      <c r="R112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113" spans="1:18" ht="14.25" x14ac:dyDescent="0.2">
      <c r="A113">
        <v>112</v>
      </c>
      <c r="B113" s="5">
        <v>40548</v>
      </c>
      <c r="C113">
        <v>1</v>
      </c>
      <c r="D113">
        <v>20</v>
      </c>
      <c r="E113" t="b">
        <v>0</v>
      </c>
      <c r="F113">
        <v>3</v>
      </c>
      <c r="G113">
        <v>1</v>
      </c>
      <c r="H113">
        <v>0.22</v>
      </c>
      <c r="I113" t="s">
        <v>5</v>
      </c>
      <c r="J113" t="s">
        <v>19</v>
      </c>
      <c r="K113" t="s">
        <v>23</v>
      </c>
      <c r="L113">
        <v>0.47</v>
      </c>
      <c r="M113">
        <v>7</v>
      </c>
      <c r="N113">
        <v>82</v>
      </c>
      <c r="O113">
        <v>89</v>
      </c>
      <c r="P113" s="2">
        <v>0.2273</v>
      </c>
      <c r="Q113" s="2">
        <v>0.16420000000000001</v>
      </c>
      <c r="R113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114" spans="1:18" ht="14.25" x14ac:dyDescent="0.2">
      <c r="A114">
        <v>113</v>
      </c>
      <c r="B114" s="5">
        <v>40548</v>
      </c>
      <c r="C114">
        <v>1</v>
      </c>
      <c r="D114">
        <v>21</v>
      </c>
      <c r="E114" t="b">
        <v>0</v>
      </c>
      <c r="F114">
        <v>3</v>
      </c>
      <c r="G114">
        <v>1</v>
      </c>
      <c r="H114">
        <v>0.2</v>
      </c>
      <c r="I114" t="s">
        <v>5</v>
      </c>
      <c r="J114" t="s">
        <v>19</v>
      </c>
      <c r="K114" t="s">
        <v>25</v>
      </c>
      <c r="L114">
        <v>0.51</v>
      </c>
      <c r="M114">
        <v>3</v>
      </c>
      <c r="N114">
        <v>40</v>
      </c>
      <c r="O114">
        <v>43</v>
      </c>
      <c r="P114" s="2">
        <v>0.19700000000000001</v>
      </c>
      <c r="Q114" s="2">
        <v>0.19400000000000001</v>
      </c>
      <c r="R114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115" spans="1:18" ht="14.25" x14ac:dyDescent="0.2">
      <c r="A115">
        <v>114</v>
      </c>
      <c r="B115" s="5">
        <v>40548</v>
      </c>
      <c r="C115">
        <v>1</v>
      </c>
      <c r="D115">
        <v>22</v>
      </c>
      <c r="E115" t="b">
        <v>0</v>
      </c>
      <c r="F115">
        <v>3</v>
      </c>
      <c r="G115">
        <v>1</v>
      </c>
      <c r="H115">
        <v>0.18</v>
      </c>
      <c r="I115" t="s">
        <v>5</v>
      </c>
      <c r="J115" t="s">
        <v>19</v>
      </c>
      <c r="K115" t="s">
        <v>25</v>
      </c>
      <c r="L115">
        <v>0.55000000000000004</v>
      </c>
      <c r="M115">
        <v>1</v>
      </c>
      <c r="N115">
        <v>41</v>
      </c>
      <c r="O115">
        <v>42</v>
      </c>
      <c r="P115" s="2">
        <v>0.19700000000000001</v>
      </c>
      <c r="Q115" s="2">
        <v>0.1343</v>
      </c>
      <c r="R115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116" spans="1:18" ht="14.25" x14ac:dyDescent="0.2">
      <c r="A116">
        <v>115</v>
      </c>
      <c r="B116" s="5">
        <v>40548</v>
      </c>
      <c r="C116">
        <v>1</v>
      </c>
      <c r="D116">
        <v>23</v>
      </c>
      <c r="E116" t="b">
        <v>0</v>
      </c>
      <c r="F116">
        <v>3</v>
      </c>
      <c r="G116">
        <v>1</v>
      </c>
      <c r="H116">
        <v>0.2</v>
      </c>
      <c r="I116" t="s">
        <v>5</v>
      </c>
      <c r="J116" t="s">
        <v>19</v>
      </c>
      <c r="K116" t="s">
        <v>25</v>
      </c>
      <c r="L116">
        <v>0.47</v>
      </c>
      <c r="M116">
        <v>1</v>
      </c>
      <c r="N116">
        <v>18</v>
      </c>
      <c r="O116">
        <v>19</v>
      </c>
      <c r="P116" s="2">
        <v>0.2576</v>
      </c>
      <c r="Q116" s="2">
        <v>0</v>
      </c>
      <c r="R116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117" spans="1:18" ht="14.25" x14ac:dyDescent="0.2">
      <c r="A117">
        <v>116</v>
      </c>
      <c r="B117" s="5">
        <v>40549</v>
      </c>
      <c r="C117">
        <v>1</v>
      </c>
      <c r="D117">
        <v>0</v>
      </c>
      <c r="E117" t="b">
        <v>0</v>
      </c>
      <c r="F117">
        <v>4</v>
      </c>
      <c r="G117">
        <v>1</v>
      </c>
      <c r="H117">
        <v>0.18</v>
      </c>
      <c r="I117" t="s">
        <v>5</v>
      </c>
      <c r="J117" t="s">
        <v>19</v>
      </c>
      <c r="K117" t="s">
        <v>20</v>
      </c>
      <c r="L117">
        <v>0.55000000000000004</v>
      </c>
      <c r="M117">
        <v>0</v>
      </c>
      <c r="N117">
        <v>11</v>
      </c>
      <c r="O117">
        <v>11</v>
      </c>
      <c r="P117" s="2">
        <v>0.2424</v>
      </c>
      <c r="Q117" s="2">
        <v>0</v>
      </c>
      <c r="R117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118" spans="1:18" ht="14.25" x14ac:dyDescent="0.2">
      <c r="A118">
        <v>117</v>
      </c>
      <c r="B118" s="5">
        <v>40549</v>
      </c>
      <c r="C118">
        <v>1</v>
      </c>
      <c r="D118">
        <v>1</v>
      </c>
      <c r="E118" t="b">
        <v>0</v>
      </c>
      <c r="F118">
        <v>4</v>
      </c>
      <c r="G118">
        <v>1</v>
      </c>
      <c r="H118">
        <v>0.16</v>
      </c>
      <c r="I118" t="s">
        <v>5</v>
      </c>
      <c r="J118" t="s">
        <v>19</v>
      </c>
      <c r="K118" t="s">
        <v>20</v>
      </c>
      <c r="L118">
        <v>0.64</v>
      </c>
      <c r="M118">
        <v>0</v>
      </c>
      <c r="N118">
        <v>4</v>
      </c>
      <c r="O118">
        <v>4</v>
      </c>
      <c r="P118" s="2">
        <v>0.2273</v>
      </c>
      <c r="Q118" s="2">
        <v>0</v>
      </c>
      <c r="R118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119" spans="1:18" ht="14.25" x14ac:dyDescent="0.2">
      <c r="A119">
        <v>118</v>
      </c>
      <c r="B119" s="5">
        <v>40549</v>
      </c>
      <c r="C119">
        <v>1</v>
      </c>
      <c r="D119">
        <v>2</v>
      </c>
      <c r="E119" t="b">
        <v>0</v>
      </c>
      <c r="F119">
        <v>4</v>
      </c>
      <c r="G119">
        <v>1</v>
      </c>
      <c r="H119">
        <v>0.16</v>
      </c>
      <c r="I119" t="s">
        <v>5</v>
      </c>
      <c r="J119" t="s">
        <v>19</v>
      </c>
      <c r="K119" t="s">
        <v>20</v>
      </c>
      <c r="L119">
        <v>0.64</v>
      </c>
      <c r="M119">
        <v>0</v>
      </c>
      <c r="N119">
        <v>2</v>
      </c>
      <c r="O119">
        <v>2</v>
      </c>
      <c r="P119" s="2">
        <v>0.2273</v>
      </c>
      <c r="Q119" s="2">
        <v>0</v>
      </c>
      <c r="R119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120" spans="1:18" ht="14.25" x14ac:dyDescent="0.2">
      <c r="A120">
        <v>119</v>
      </c>
      <c r="B120" s="5">
        <v>40549</v>
      </c>
      <c r="C120">
        <v>1</v>
      </c>
      <c r="D120">
        <v>4</v>
      </c>
      <c r="E120" t="b">
        <v>0</v>
      </c>
      <c r="F120">
        <v>4</v>
      </c>
      <c r="G120">
        <v>2</v>
      </c>
      <c r="H120">
        <v>0.16</v>
      </c>
      <c r="I120" t="s">
        <v>5</v>
      </c>
      <c r="J120" t="s">
        <v>21</v>
      </c>
      <c r="K120" t="s">
        <v>20</v>
      </c>
      <c r="L120">
        <v>0.64</v>
      </c>
      <c r="M120">
        <v>0</v>
      </c>
      <c r="N120">
        <v>1</v>
      </c>
      <c r="O120">
        <v>1</v>
      </c>
      <c r="P120" s="2">
        <v>0.19700000000000001</v>
      </c>
      <c r="Q120" s="2">
        <v>8.9599999999999999E-2</v>
      </c>
      <c r="R120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121" spans="1:18" ht="14.25" x14ac:dyDescent="0.2">
      <c r="A121">
        <v>120</v>
      </c>
      <c r="B121" s="5">
        <v>40549</v>
      </c>
      <c r="C121">
        <v>1</v>
      </c>
      <c r="D121">
        <v>5</v>
      </c>
      <c r="E121" t="b">
        <v>0</v>
      </c>
      <c r="F121">
        <v>4</v>
      </c>
      <c r="G121">
        <v>2</v>
      </c>
      <c r="H121">
        <v>0.14000000000000001</v>
      </c>
      <c r="I121" t="s">
        <v>5</v>
      </c>
      <c r="J121" t="s">
        <v>21</v>
      </c>
      <c r="K121" t="s">
        <v>20</v>
      </c>
      <c r="L121">
        <v>0.69</v>
      </c>
      <c r="M121">
        <v>0</v>
      </c>
      <c r="N121">
        <v>4</v>
      </c>
      <c r="O121">
        <v>4</v>
      </c>
      <c r="P121" s="2">
        <v>0.18179999999999999</v>
      </c>
      <c r="Q121" s="2">
        <v>8.9599999999999999E-2</v>
      </c>
      <c r="R121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122" spans="1:18" ht="14.25" x14ac:dyDescent="0.2">
      <c r="A122">
        <v>121</v>
      </c>
      <c r="B122" s="5">
        <v>40549</v>
      </c>
      <c r="C122">
        <v>1</v>
      </c>
      <c r="D122">
        <v>6</v>
      </c>
      <c r="E122" t="b">
        <v>0</v>
      </c>
      <c r="F122">
        <v>4</v>
      </c>
      <c r="G122">
        <v>2</v>
      </c>
      <c r="H122">
        <v>0.14000000000000001</v>
      </c>
      <c r="I122" t="s">
        <v>5</v>
      </c>
      <c r="J122" t="s">
        <v>21</v>
      </c>
      <c r="K122" t="s">
        <v>20</v>
      </c>
      <c r="L122">
        <v>0.63</v>
      </c>
      <c r="M122">
        <v>0</v>
      </c>
      <c r="N122">
        <v>36</v>
      </c>
      <c r="O122">
        <v>36</v>
      </c>
      <c r="P122" s="2">
        <v>0.16669999999999999</v>
      </c>
      <c r="Q122" s="2">
        <v>0.1045</v>
      </c>
      <c r="R122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123" spans="1:18" ht="14.25" x14ac:dyDescent="0.2">
      <c r="A123">
        <v>122</v>
      </c>
      <c r="B123" s="5">
        <v>40549</v>
      </c>
      <c r="C123">
        <v>1</v>
      </c>
      <c r="D123">
        <v>7</v>
      </c>
      <c r="E123" t="b">
        <v>0</v>
      </c>
      <c r="F123">
        <v>4</v>
      </c>
      <c r="G123">
        <v>2</v>
      </c>
      <c r="H123">
        <v>0.16</v>
      </c>
      <c r="I123" t="s">
        <v>5</v>
      </c>
      <c r="J123" t="s">
        <v>21</v>
      </c>
      <c r="K123" t="s">
        <v>20</v>
      </c>
      <c r="L123">
        <v>0.59</v>
      </c>
      <c r="M123">
        <v>0</v>
      </c>
      <c r="N123">
        <v>95</v>
      </c>
      <c r="O123">
        <v>95</v>
      </c>
      <c r="P123" s="2">
        <v>0.2273</v>
      </c>
      <c r="Q123" s="2">
        <v>0</v>
      </c>
      <c r="R123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124" spans="1:18" ht="14.25" x14ac:dyDescent="0.2">
      <c r="A124">
        <v>123</v>
      </c>
      <c r="B124" s="5">
        <v>40549</v>
      </c>
      <c r="C124">
        <v>1</v>
      </c>
      <c r="D124">
        <v>8</v>
      </c>
      <c r="E124" t="b">
        <v>0</v>
      </c>
      <c r="F124">
        <v>4</v>
      </c>
      <c r="G124">
        <v>1</v>
      </c>
      <c r="H124">
        <v>0.16</v>
      </c>
      <c r="I124" t="s">
        <v>5</v>
      </c>
      <c r="J124" t="s">
        <v>19</v>
      </c>
      <c r="K124" t="s">
        <v>20</v>
      </c>
      <c r="L124">
        <v>0.59</v>
      </c>
      <c r="M124">
        <v>3</v>
      </c>
      <c r="N124">
        <v>216</v>
      </c>
      <c r="O124">
        <v>219</v>
      </c>
      <c r="P124" s="2">
        <v>0.2273</v>
      </c>
      <c r="Q124" s="2">
        <v>0</v>
      </c>
      <c r="R124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125" spans="1:18" ht="14.25" x14ac:dyDescent="0.2">
      <c r="A125">
        <v>124</v>
      </c>
      <c r="B125" s="5">
        <v>40549</v>
      </c>
      <c r="C125">
        <v>1</v>
      </c>
      <c r="D125">
        <v>9</v>
      </c>
      <c r="E125" t="b">
        <v>0</v>
      </c>
      <c r="F125">
        <v>4</v>
      </c>
      <c r="G125">
        <v>2</v>
      </c>
      <c r="H125">
        <v>0.18</v>
      </c>
      <c r="I125" t="s">
        <v>5</v>
      </c>
      <c r="J125" t="s">
        <v>21</v>
      </c>
      <c r="K125" t="s">
        <v>20</v>
      </c>
      <c r="L125">
        <v>0.51</v>
      </c>
      <c r="M125">
        <v>6</v>
      </c>
      <c r="N125">
        <v>116</v>
      </c>
      <c r="O125">
        <v>122</v>
      </c>
      <c r="P125" s="2">
        <v>0.2424</v>
      </c>
      <c r="Q125" s="2">
        <v>0</v>
      </c>
      <c r="R125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126" spans="1:18" ht="14.25" x14ac:dyDescent="0.2">
      <c r="A126">
        <v>125</v>
      </c>
      <c r="B126" s="5">
        <v>40549</v>
      </c>
      <c r="C126">
        <v>1</v>
      </c>
      <c r="D126">
        <v>10</v>
      </c>
      <c r="E126" t="b">
        <v>0</v>
      </c>
      <c r="F126">
        <v>4</v>
      </c>
      <c r="G126">
        <v>1</v>
      </c>
      <c r="H126">
        <v>0.2</v>
      </c>
      <c r="I126" t="s">
        <v>5</v>
      </c>
      <c r="J126" t="s">
        <v>19</v>
      </c>
      <c r="K126" t="s">
        <v>20</v>
      </c>
      <c r="L126">
        <v>0.47</v>
      </c>
      <c r="M126">
        <v>3</v>
      </c>
      <c r="N126">
        <v>42</v>
      </c>
      <c r="O126">
        <v>45</v>
      </c>
      <c r="P126" s="2">
        <v>0.2576</v>
      </c>
      <c r="Q126" s="2">
        <v>0</v>
      </c>
      <c r="R126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127" spans="1:18" ht="14.25" x14ac:dyDescent="0.2">
      <c r="A127">
        <v>126</v>
      </c>
      <c r="B127" s="5">
        <v>40549</v>
      </c>
      <c r="C127">
        <v>1</v>
      </c>
      <c r="D127">
        <v>11</v>
      </c>
      <c r="E127" t="b">
        <v>0</v>
      </c>
      <c r="F127">
        <v>4</v>
      </c>
      <c r="G127">
        <v>1</v>
      </c>
      <c r="H127">
        <v>0.22</v>
      </c>
      <c r="I127" t="s">
        <v>5</v>
      </c>
      <c r="J127" t="s">
        <v>19</v>
      </c>
      <c r="K127" t="s">
        <v>20</v>
      </c>
      <c r="L127">
        <v>0.44</v>
      </c>
      <c r="M127">
        <v>2</v>
      </c>
      <c r="N127">
        <v>57</v>
      </c>
      <c r="O127">
        <v>59</v>
      </c>
      <c r="P127" s="2">
        <v>0.2576</v>
      </c>
      <c r="Q127" s="2">
        <v>8.9599999999999999E-2</v>
      </c>
      <c r="R127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128" spans="1:18" ht="14.25" x14ac:dyDescent="0.2">
      <c r="A128">
        <v>127</v>
      </c>
      <c r="B128" s="5">
        <v>40549</v>
      </c>
      <c r="C128">
        <v>1</v>
      </c>
      <c r="D128">
        <v>12</v>
      </c>
      <c r="E128" t="b">
        <v>0</v>
      </c>
      <c r="F128">
        <v>4</v>
      </c>
      <c r="G128">
        <v>1</v>
      </c>
      <c r="H128">
        <v>0.26</v>
      </c>
      <c r="I128" t="s">
        <v>5</v>
      </c>
      <c r="J128" t="s">
        <v>19</v>
      </c>
      <c r="K128" t="s">
        <v>22</v>
      </c>
      <c r="L128">
        <v>0.35</v>
      </c>
      <c r="M128">
        <v>6</v>
      </c>
      <c r="N128">
        <v>78</v>
      </c>
      <c r="O128">
        <v>84</v>
      </c>
      <c r="P128" s="2">
        <v>0.28789999999999999</v>
      </c>
      <c r="Q128" s="2">
        <v>0</v>
      </c>
      <c r="R128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129" spans="1:18" ht="14.25" x14ac:dyDescent="0.2">
      <c r="A129">
        <v>128</v>
      </c>
      <c r="B129" s="5">
        <v>40549</v>
      </c>
      <c r="C129">
        <v>1</v>
      </c>
      <c r="D129">
        <v>13</v>
      </c>
      <c r="E129" t="b">
        <v>0</v>
      </c>
      <c r="F129">
        <v>4</v>
      </c>
      <c r="G129">
        <v>1</v>
      </c>
      <c r="H129">
        <v>0.26</v>
      </c>
      <c r="I129" t="s">
        <v>5</v>
      </c>
      <c r="J129" t="s">
        <v>19</v>
      </c>
      <c r="K129" t="s">
        <v>22</v>
      </c>
      <c r="L129">
        <v>0.35</v>
      </c>
      <c r="M129">
        <v>12</v>
      </c>
      <c r="N129">
        <v>55</v>
      </c>
      <c r="O129">
        <v>67</v>
      </c>
      <c r="P129" s="2">
        <v>0.2727</v>
      </c>
      <c r="Q129" s="2">
        <v>0.1045</v>
      </c>
      <c r="R129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130" spans="1:18" ht="14.25" x14ac:dyDescent="0.2">
      <c r="A130">
        <v>129</v>
      </c>
      <c r="B130" s="5">
        <v>40549</v>
      </c>
      <c r="C130">
        <v>1</v>
      </c>
      <c r="D130">
        <v>14</v>
      </c>
      <c r="E130" t="b">
        <v>0</v>
      </c>
      <c r="F130">
        <v>4</v>
      </c>
      <c r="G130">
        <v>1</v>
      </c>
      <c r="H130">
        <v>0.28000000000000003</v>
      </c>
      <c r="I130" t="s">
        <v>5</v>
      </c>
      <c r="J130" t="s">
        <v>19</v>
      </c>
      <c r="K130" t="s">
        <v>22</v>
      </c>
      <c r="L130">
        <v>0.36</v>
      </c>
      <c r="M130">
        <v>11</v>
      </c>
      <c r="N130">
        <v>59</v>
      </c>
      <c r="O130">
        <v>70</v>
      </c>
      <c r="P130" s="2">
        <v>0.2727</v>
      </c>
      <c r="Q130" s="2">
        <v>0.16420000000000001</v>
      </c>
      <c r="R130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131" spans="1:18" ht="14.25" x14ac:dyDescent="0.2">
      <c r="A131">
        <v>130</v>
      </c>
      <c r="B131" s="5">
        <v>40549</v>
      </c>
      <c r="C131">
        <v>1</v>
      </c>
      <c r="D131">
        <v>15</v>
      </c>
      <c r="E131" t="b">
        <v>0</v>
      </c>
      <c r="F131">
        <v>4</v>
      </c>
      <c r="G131">
        <v>1</v>
      </c>
      <c r="H131">
        <v>0.28000000000000003</v>
      </c>
      <c r="I131" t="s">
        <v>5</v>
      </c>
      <c r="J131" t="s">
        <v>19</v>
      </c>
      <c r="K131" t="s">
        <v>22</v>
      </c>
      <c r="L131">
        <v>0.36</v>
      </c>
      <c r="M131">
        <v>8</v>
      </c>
      <c r="N131">
        <v>54</v>
      </c>
      <c r="O131">
        <v>62</v>
      </c>
      <c r="P131" s="2">
        <v>0.2727</v>
      </c>
      <c r="Q131" s="2">
        <v>0</v>
      </c>
      <c r="R131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132" spans="1:18" ht="14.25" x14ac:dyDescent="0.2">
      <c r="A132">
        <v>131</v>
      </c>
      <c r="B132" s="5">
        <v>40549</v>
      </c>
      <c r="C132">
        <v>1</v>
      </c>
      <c r="D132">
        <v>16</v>
      </c>
      <c r="E132" t="b">
        <v>0</v>
      </c>
      <c r="F132">
        <v>4</v>
      </c>
      <c r="G132">
        <v>1</v>
      </c>
      <c r="H132">
        <v>0.26</v>
      </c>
      <c r="I132" t="s">
        <v>5</v>
      </c>
      <c r="J132" t="s">
        <v>19</v>
      </c>
      <c r="K132" t="s">
        <v>22</v>
      </c>
      <c r="L132">
        <v>0.38</v>
      </c>
      <c r="M132">
        <v>12</v>
      </c>
      <c r="N132">
        <v>74</v>
      </c>
      <c r="O132">
        <v>86</v>
      </c>
      <c r="P132" s="2">
        <v>0.2576</v>
      </c>
      <c r="Q132" s="2">
        <v>0.16420000000000001</v>
      </c>
      <c r="R132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133" spans="1:18" ht="14.25" x14ac:dyDescent="0.2">
      <c r="A133">
        <v>132</v>
      </c>
      <c r="B133" s="5">
        <v>40549</v>
      </c>
      <c r="C133">
        <v>1</v>
      </c>
      <c r="D133">
        <v>17</v>
      </c>
      <c r="E133" t="b">
        <v>0</v>
      </c>
      <c r="F133">
        <v>4</v>
      </c>
      <c r="G133">
        <v>1</v>
      </c>
      <c r="H133">
        <v>0.22</v>
      </c>
      <c r="I133" t="s">
        <v>5</v>
      </c>
      <c r="J133" t="s">
        <v>19</v>
      </c>
      <c r="K133" t="s">
        <v>23</v>
      </c>
      <c r="L133">
        <v>0.51</v>
      </c>
      <c r="M133">
        <v>9</v>
      </c>
      <c r="N133">
        <v>163</v>
      </c>
      <c r="O133">
        <v>172</v>
      </c>
      <c r="P133" s="2">
        <v>0.2273</v>
      </c>
      <c r="Q133" s="2">
        <v>0.16420000000000001</v>
      </c>
      <c r="R133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134" spans="1:18" ht="14.25" x14ac:dyDescent="0.2">
      <c r="A134">
        <v>133</v>
      </c>
      <c r="B134" s="5">
        <v>40549</v>
      </c>
      <c r="C134">
        <v>1</v>
      </c>
      <c r="D134">
        <v>18</v>
      </c>
      <c r="E134" t="b">
        <v>0</v>
      </c>
      <c r="F134">
        <v>4</v>
      </c>
      <c r="G134">
        <v>1</v>
      </c>
      <c r="H134">
        <v>0.22</v>
      </c>
      <c r="I134" t="s">
        <v>5</v>
      </c>
      <c r="J134" t="s">
        <v>19</v>
      </c>
      <c r="K134" t="s">
        <v>23</v>
      </c>
      <c r="L134">
        <v>0.51</v>
      </c>
      <c r="M134">
        <v>5</v>
      </c>
      <c r="N134">
        <v>158</v>
      </c>
      <c r="O134">
        <v>163</v>
      </c>
      <c r="P134" s="2">
        <v>0.2273</v>
      </c>
      <c r="Q134" s="2">
        <v>0.1343</v>
      </c>
      <c r="R134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135" spans="1:18" ht="14.25" x14ac:dyDescent="0.2">
      <c r="A135">
        <v>134</v>
      </c>
      <c r="B135" s="5">
        <v>40549</v>
      </c>
      <c r="C135">
        <v>1</v>
      </c>
      <c r="D135">
        <v>19</v>
      </c>
      <c r="E135" t="b">
        <v>0</v>
      </c>
      <c r="F135">
        <v>4</v>
      </c>
      <c r="G135">
        <v>1</v>
      </c>
      <c r="H135">
        <v>0.22</v>
      </c>
      <c r="I135" t="s">
        <v>5</v>
      </c>
      <c r="J135" t="s">
        <v>19</v>
      </c>
      <c r="K135" t="s">
        <v>23</v>
      </c>
      <c r="L135">
        <v>0.55000000000000004</v>
      </c>
      <c r="M135">
        <v>3</v>
      </c>
      <c r="N135">
        <v>109</v>
      </c>
      <c r="O135">
        <v>112</v>
      </c>
      <c r="P135" s="2">
        <v>0.2576</v>
      </c>
      <c r="Q135" s="2">
        <v>8.9599999999999999E-2</v>
      </c>
      <c r="R135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136" spans="1:18" ht="14.25" x14ac:dyDescent="0.2">
      <c r="A136">
        <v>135</v>
      </c>
      <c r="B136" s="5">
        <v>40549</v>
      </c>
      <c r="C136">
        <v>1</v>
      </c>
      <c r="D136">
        <v>20</v>
      </c>
      <c r="E136" t="b">
        <v>0</v>
      </c>
      <c r="F136">
        <v>4</v>
      </c>
      <c r="G136">
        <v>1</v>
      </c>
      <c r="H136">
        <v>0.2</v>
      </c>
      <c r="I136" t="s">
        <v>5</v>
      </c>
      <c r="J136" t="s">
        <v>19</v>
      </c>
      <c r="K136" t="s">
        <v>23</v>
      </c>
      <c r="L136">
        <v>0.51</v>
      </c>
      <c r="M136">
        <v>3</v>
      </c>
      <c r="N136">
        <v>66</v>
      </c>
      <c r="O136">
        <v>69</v>
      </c>
      <c r="P136" s="2">
        <v>0.21210000000000001</v>
      </c>
      <c r="Q136" s="2">
        <v>0.16420000000000001</v>
      </c>
      <c r="R136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137" spans="1:18" ht="14.25" x14ac:dyDescent="0.2">
      <c r="A137">
        <v>136</v>
      </c>
      <c r="B137" s="5">
        <v>40549</v>
      </c>
      <c r="C137">
        <v>1</v>
      </c>
      <c r="D137">
        <v>21</v>
      </c>
      <c r="E137" t="b">
        <v>0</v>
      </c>
      <c r="F137">
        <v>4</v>
      </c>
      <c r="G137">
        <v>2</v>
      </c>
      <c r="H137">
        <v>0.22</v>
      </c>
      <c r="I137" t="s">
        <v>5</v>
      </c>
      <c r="J137" t="s">
        <v>21</v>
      </c>
      <c r="K137" t="s">
        <v>25</v>
      </c>
      <c r="L137">
        <v>0.55000000000000004</v>
      </c>
      <c r="M137">
        <v>0</v>
      </c>
      <c r="N137">
        <v>48</v>
      </c>
      <c r="O137">
        <v>48</v>
      </c>
      <c r="P137" s="2">
        <v>0.21210000000000001</v>
      </c>
      <c r="Q137" s="2">
        <v>0.22389999999999999</v>
      </c>
      <c r="R137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138" spans="1:18" ht="14.25" x14ac:dyDescent="0.2">
      <c r="A138">
        <v>137</v>
      </c>
      <c r="B138" s="5">
        <v>40549</v>
      </c>
      <c r="C138">
        <v>1</v>
      </c>
      <c r="D138">
        <v>22</v>
      </c>
      <c r="E138" t="b">
        <v>0</v>
      </c>
      <c r="F138">
        <v>4</v>
      </c>
      <c r="G138">
        <v>2</v>
      </c>
      <c r="H138">
        <v>0.22</v>
      </c>
      <c r="I138" t="s">
        <v>5</v>
      </c>
      <c r="J138" t="s">
        <v>21</v>
      </c>
      <c r="K138" t="s">
        <v>25</v>
      </c>
      <c r="L138">
        <v>0.51</v>
      </c>
      <c r="M138">
        <v>1</v>
      </c>
      <c r="N138">
        <v>51</v>
      </c>
      <c r="O138">
        <v>52</v>
      </c>
      <c r="P138" s="2">
        <v>0.21210000000000001</v>
      </c>
      <c r="Q138" s="2">
        <v>0.28360000000000002</v>
      </c>
      <c r="R138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139" spans="1:18" ht="14.25" x14ac:dyDescent="0.2">
      <c r="A139">
        <v>138</v>
      </c>
      <c r="B139" s="5">
        <v>40549</v>
      </c>
      <c r="C139">
        <v>1</v>
      </c>
      <c r="D139">
        <v>23</v>
      </c>
      <c r="E139" t="b">
        <v>0</v>
      </c>
      <c r="F139">
        <v>4</v>
      </c>
      <c r="G139">
        <v>2</v>
      </c>
      <c r="H139">
        <v>0.2</v>
      </c>
      <c r="I139" t="s">
        <v>5</v>
      </c>
      <c r="J139" t="s">
        <v>21</v>
      </c>
      <c r="K139" t="s">
        <v>25</v>
      </c>
      <c r="L139">
        <v>0.59</v>
      </c>
      <c r="M139">
        <v>4</v>
      </c>
      <c r="N139">
        <v>19</v>
      </c>
      <c r="O139">
        <v>23</v>
      </c>
      <c r="P139" s="2">
        <v>0.19700000000000001</v>
      </c>
      <c r="Q139" s="2">
        <v>0.19400000000000001</v>
      </c>
      <c r="R139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140" spans="1:18" ht="14.25" x14ac:dyDescent="0.2">
      <c r="A140">
        <v>139</v>
      </c>
      <c r="B140" s="5">
        <v>40550</v>
      </c>
      <c r="C140">
        <v>1</v>
      </c>
      <c r="D140">
        <v>0</v>
      </c>
      <c r="E140" t="b">
        <v>0</v>
      </c>
      <c r="F140">
        <v>5</v>
      </c>
      <c r="G140">
        <v>2</v>
      </c>
      <c r="H140">
        <v>0.2</v>
      </c>
      <c r="I140" t="s">
        <v>5</v>
      </c>
      <c r="J140" t="s">
        <v>21</v>
      </c>
      <c r="K140" t="s">
        <v>20</v>
      </c>
      <c r="L140">
        <v>0.64</v>
      </c>
      <c r="M140">
        <v>4</v>
      </c>
      <c r="N140">
        <v>13</v>
      </c>
      <c r="O140">
        <v>17</v>
      </c>
      <c r="P140" s="2">
        <v>0.19700000000000001</v>
      </c>
      <c r="Q140" s="2">
        <v>0.19400000000000001</v>
      </c>
      <c r="R140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141" spans="1:18" ht="14.25" x14ac:dyDescent="0.2">
      <c r="A141">
        <v>140</v>
      </c>
      <c r="B141" s="5">
        <v>40550</v>
      </c>
      <c r="C141">
        <v>1</v>
      </c>
      <c r="D141">
        <v>1</v>
      </c>
      <c r="E141" t="b">
        <v>0</v>
      </c>
      <c r="F141">
        <v>5</v>
      </c>
      <c r="G141">
        <v>2</v>
      </c>
      <c r="H141">
        <v>0.2</v>
      </c>
      <c r="I141" t="s">
        <v>5</v>
      </c>
      <c r="J141" t="s">
        <v>21</v>
      </c>
      <c r="K141" t="s">
        <v>20</v>
      </c>
      <c r="L141">
        <v>0.69</v>
      </c>
      <c r="M141">
        <v>2</v>
      </c>
      <c r="N141">
        <v>5</v>
      </c>
      <c r="O141">
        <v>7</v>
      </c>
      <c r="P141" s="2">
        <v>0.19700000000000001</v>
      </c>
      <c r="Q141" s="2">
        <v>0.22389999999999999</v>
      </c>
      <c r="R141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142" spans="1:18" ht="14.25" x14ac:dyDescent="0.2">
      <c r="A142">
        <v>141</v>
      </c>
      <c r="B142" s="5">
        <v>40550</v>
      </c>
      <c r="C142">
        <v>1</v>
      </c>
      <c r="D142">
        <v>2</v>
      </c>
      <c r="E142" t="b">
        <v>0</v>
      </c>
      <c r="F142">
        <v>5</v>
      </c>
      <c r="G142">
        <v>2</v>
      </c>
      <c r="H142">
        <v>0.2</v>
      </c>
      <c r="I142" t="s">
        <v>5</v>
      </c>
      <c r="J142" t="s">
        <v>21</v>
      </c>
      <c r="K142" t="s">
        <v>20</v>
      </c>
      <c r="L142">
        <v>0.69</v>
      </c>
      <c r="M142">
        <v>0</v>
      </c>
      <c r="N142">
        <v>1</v>
      </c>
      <c r="O142">
        <v>1</v>
      </c>
      <c r="P142" s="2">
        <v>0.19700000000000001</v>
      </c>
      <c r="Q142" s="2">
        <v>0.22389999999999999</v>
      </c>
      <c r="R142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143" spans="1:18" ht="14.25" x14ac:dyDescent="0.2">
      <c r="A143">
        <v>142</v>
      </c>
      <c r="B143" s="5">
        <v>40550</v>
      </c>
      <c r="C143">
        <v>1</v>
      </c>
      <c r="D143">
        <v>4</v>
      </c>
      <c r="E143" t="b">
        <v>0</v>
      </c>
      <c r="F143">
        <v>5</v>
      </c>
      <c r="G143">
        <v>2</v>
      </c>
      <c r="H143">
        <v>0.2</v>
      </c>
      <c r="I143" t="s">
        <v>5</v>
      </c>
      <c r="J143" t="s">
        <v>21</v>
      </c>
      <c r="K143" t="s">
        <v>20</v>
      </c>
      <c r="L143">
        <v>0.69</v>
      </c>
      <c r="M143">
        <v>0</v>
      </c>
      <c r="N143">
        <v>1</v>
      </c>
      <c r="O143">
        <v>1</v>
      </c>
      <c r="P143" s="2">
        <v>0.21210000000000001</v>
      </c>
      <c r="Q143" s="2">
        <v>0.1343</v>
      </c>
      <c r="R143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144" spans="1:18" ht="14.25" x14ac:dyDescent="0.2">
      <c r="A144">
        <v>143</v>
      </c>
      <c r="B144" s="5">
        <v>40550</v>
      </c>
      <c r="C144">
        <v>1</v>
      </c>
      <c r="D144">
        <v>5</v>
      </c>
      <c r="E144" t="b">
        <v>0</v>
      </c>
      <c r="F144">
        <v>5</v>
      </c>
      <c r="G144">
        <v>3</v>
      </c>
      <c r="H144">
        <v>0.22</v>
      </c>
      <c r="I144" t="s">
        <v>5</v>
      </c>
      <c r="J144" t="s">
        <v>24</v>
      </c>
      <c r="K144" t="s">
        <v>20</v>
      </c>
      <c r="L144">
        <v>0.55000000000000004</v>
      </c>
      <c r="M144">
        <v>0</v>
      </c>
      <c r="N144">
        <v>5</v>
      </c>
      <c r="O144">
        <v>5</v>
      </c>
      <c r="P144" s="2">
        <v>0.2727</v>
      </c>
      <c r="Q144" s="2">
        <v>0</v>
      </c>
      <c r="R144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145" spans="1:18" ht="14.25" x14ac:dyDescent="0.2">
      <c r="A145">
        <v>144</v>
      </c>
      <c r="B145" s="5">
        <v>40550</v>
      </c>
      <c r="C145">
        <v>1</v>
      </c>
      <c r="D145">
        <v>6</v>
      </c>
      <c r="E145" t="b">
        <v>0</v>
      </c>
      <c r="F145">
        <v>5</v>
      </c>
      <c r="G145">
        <v>2</v>
      </c>
      <c r="H145">
        <v>0.2</v>
      </c>
      <c r="I145" t="s">
        <v>5</v>
      </c>
      <c r="J145" t="s">
        <v>21</v>
      </c>
      <c r="K145" t="s">
        <v>20</v>
      </c>
      <c r="L145">
        <v>0.69</v>
      </c>
      <c r="M145">
        <v>8</v>
      </c>
      <c r="N145">
        <v>26</v>
      </c>
      <c r="O145">
        <v>34</v>
      </c>
      <c r="P145" s="2">
        <v>0.2576</v>
      </c>
      <c r="Q145" s="2">
        <v>0</v>
      </c>
      <c r="R145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146" spans="1:18" ht="14.25" x14ac:dyDescent="0.2">
      <c r="A146">
        <v>145</v>
      </c>
      <c r="B146" s="5">
        <v>40550</v>
      </c>
      <c r="C146">
        <v>1</v>
      </c>
      <c r="D146">
        <v>7</v>
      </c>
      <c r="E146" t="b">
        <v>0</v>
      </c>
      <c r="F146">
        <v>5</v>
      </c>
      <c r="G146">
        <v>1</v>
      </c>
      <c r="H146">
        <v>0.2</v>
      </c>
      <c r="I146" t="s">
        <v>5</v>
      </c>
      <c r="J146" t="s">
        <v>19</v>
      </c>
      <c r="K146" t="s">
        <v>20</v>
      </c>
      <c r="L146">
        <v>0.69</v>
      </c>
      <c r="M146">
        <v>8</v>
      </c>
      <c r="N146">
        <v>76</v>
      </c>
      <c r="O146">
        <v>84</v>
      </c>
      <c r="P146" s="2">
        <v>0.21210000000000001</v>
      </c>
      <c r="Q146" s="2">
        <v>0.1343</v>
      </c>
      <c r="R146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147" spans="1:18" ht="14.25" x14ac:dyDescent="0.2">
      <c r="A147">
        <v>146</v>
      </c>
      <c r="B147" s="5">
        <v>40550</v>
      </c>
      <c r="C147">
        <v>1</v>
      </c>
      <c r="D147">
        <v>8</v>
      </c>
      <c r="E147" t="b">
        <v>0</v>
      </c>
      <c r="F147">
        <v>5</v>
      </c>
      <c r="G147">
        <v>1</v>
      </c>
      <c r="H147">
        <v>0.2</v>
      </c>
      <c r="I147" t="s">
        <v>5</v>
      </c>
      <c r="J147" t="s">
        <v>19</v>
      </c>
      <c r="K147" t="s">
        <v>20</v>
      </c>
      <c r="L147">
        <v>0.51</v>
      </c>
      <c r="M147">
        <v>20</v>
      </c>
      <c r="N147">
        <v>190</v>
      </c>
      <c r="O147">
        <v>210</v>
      </c>
      <c r="P147" s="2">
        <v>0.19700000000000001</v>
      </c>
      <c r="Q147" s="2">
        <v>0.25369999999999998</v>
      </c>
      <c r="R147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148" spans="1:18" ht="14.25" x14ac:dyDescent="0.2">
      <c r="A148">
        <v>147</v>
      </c>
      <c r="B148" s="5">
        <v>40550</v>
      </c>
      <c r="C148">
        <v>1</v>
      </c>
      <c r="D148">
        <v>9</v>
      </c>
      <c r="E148" t="b">
        <v>0</v>
      </c>
      <c r="F148">
        <v>5</v>
      </c>
      <c r="G148">
        <v>1</v>
      </c>
      <c r="H148">
        <v>0.2</v>
      </c>
      <c r="I148" t="s">
        <v>5</v>
      </c>
      <c r="J148" t="s">
        <v>19</v>
      </c>
      <c r="K148" t="s">
        <v>20</v>
      </c>
      <c r="L148">
        <v>0.47</v>
      </c>
      <c r="M148">
        <v>9</v>
      </c>
      <c r="N148">
        <v>125</v>
      </c>
      <c r="O148">
        <v>134</v>
      </c>
      <c r="P148" s="2">
        <v>0.18179999999999999</v>
      </c>
      <c r="Q148" s="2">
        <v>0.29849999999999999</v>
      </c>
      <c r="R148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149" spans="1:18" ht="14.25" x14ac:dyDescent="0.2">
      <c r="A149">
        <v>148</v>
      </c>
      <c r="B149" s="5">
        <v>40550</v>
      </c>
      <c r="C149">
        <v>1</v>
      </c>
      <c r="D149">
        <v>10</v>
      </c>
      <c r="E149" t="b">
        <v>0</v>
      </c>
      <c r="F149">
        <v>5</v>
      </c>
      <c r="G149">
        <v>1</v>
      </c>
      <c r="H149">
        <v>0.22</v>
      </c>
      <c r="I149" t="s">
        <v>5</v>
      </c>
      <c r="J149" t="s">
        <v>19</v>
      </c>
      <c r="K149" t="s">
        <v>20</v>
      </c>
      <c r="L149">
        <v>0.37</v>
      </c>
      <c r="M149">
        <v>16</v>
      </c>
      <c r="N149">
        <v>47</v>
      </c>
      <c r="O149">
        <v>63</v>
      </c>
      <c r="P149" s="2">
        <v>0.19700000000000001</v>
      </c>
      <c r="Q149" s="2">
        <v>0.32840000000000003</v>
      </c>
      <c r="R149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150" spans="1:18" ht="14.25" x14ac:dyDescent="0.2">
      <c r="A150">
        <v>149</v>
      </c>
      <c r="B150" s="5">
        <v>40550</v>
      </c>
      <c r="C150">
        <v>1</v>
      </c>
      <c r="D150">
        <v>11</v>
      </c>
      <c r="E150" t="b">
        <v>0</v>
      </c>
      <c r="F150">
        <v>5</v>
      </c>
      <c r="G150">
        <v>2</v>
      </c>
      <c r="H150">
        <v>0.2</v>
      </c>
      <c r="I150" t="s">
        <v>5</v>
      </c>
      <c r="J150" t="s">
        <v>21</v>
      </c>
      <c r="K150" t="s">
        <v>20</v>
      </c>
      <c r="L150">
        <v>0.4</v>
      </c>
      <c r="M150">
        <v>19</v>
      </c>
      <c r="N150">
        <v>48</v>
      </c>
      <c r="O150">
        <v>67</v>
      </c>
      <c r="P150" s="2">
        <v>0.19700000000000001</v>
      </c>
      <c r="Q150" s="2">
        <v>0.22389999999999999</v>
      </c>
      <c r="R150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151" spans="1:18" ht="14.25" x14ac:dyDescent="0.2">
      <c r="A151">
        <v>150</v>
      </c>
      <c r="B151" s="5">
        <v>40550</v>
      </c>
      <c r="C151">
        <v>1</v>
      </c>
      <c r="D151">
        <v>12</v>
      </c>
      <c r="E151" t="b">
        <v>0</v>
      </c>
      <c r="F151">
        <v>5</v>
      </c>
      <c r="G151">
        <v>2</v>
      </c>
      <c r="H151">
        <v>0.2</v>
      </c>
      <c r="I151" t="s">
        <v>5</v>
      </c>
      <c r="J151" t="s">
        <v>21</v>
      </c>
      <c r="K151" t="s">
        <v>22</v>
      </c>
      <c r="L151">
        <v>0.37</v>
      </c>
      <c r="M151">
        <v>9</v>
      </c>
      <c r="N151">
        <v>50</v>
      </c>
      <c r="O151">
        <v>59</v>
      </c>
      <c r="P151" s="2">
        <v>0.19700000000000001</v>
      </c>
      <c r="Q151" s="2">
        <v>0.25369999999999998</v>
      </c>
      <c r="R151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152" spans="1:18" ht="14.25" x14ac:dyDescent="0.2">
      <c r="A152">
        <v>151</v>
      </c>
      <c r="B152" s="5">
        <v>40550</v>
      </c>
      <c r="C152">
        <v>1</v>
      </c>
      <c r="D152">
        <v>13</v>
      </c>
      <c r="E152" t="b">
        <v>0</v>
      </c>
      <c r="F152">
        <v>5</v>
      </c>
      <c r="G152">
        <v>2</v>
      </c>
      <c r="H152">
        <v>0.2</v>
      </c>
      <c r="I152" t="s">
        <v>5</v>
      </c>
      <c r="J152" t="s">
        <v>21</v>
      </c>
      <c r="K152" t="s">
        <v>22</v>
      </c>
      <c r="L152">
        <v>0.37</v>
      </c>
      <c r="M152">
        <v>9</v>
      </c>
      <c r="N152">
        <v>64</v>
      </c>
      <c r="O152">
        <v>73</v>
      </c>
      <c r="P152" s="2">
        <v>0.18179999999999999</v>
      </c>
      <c r="Q152" s="2">
        <v>0.28360000000000002</v>
      </c>
      <c r="R152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153" spans="1:18" ht="14.25" x14ac:dyDescent="0.2">
      <c r="A153">
        <v>152</v>
      </c>
      <c r="B153" s="5">
        <v>40550</v>
      </c>
      <c r="C153">
        <v>1</v>
      </c>
      <c r="D153">
        <v>14</v>
      </c>
      <c r="E153" t="b">
        <v>0</v>
      </c>
      <c r="F153">
        <v>5</v>
      </c>
      <c r="G153">
        <v>2</v>
      </c>
      <c r="H153">
        <v>0.2</v>
      </c>
      <c r="I153" t="s">
        <v>5</v>
      </c>
      <c r="J153" t="s">
        <v>21</v>
      </c>
      <c r="K153" t="s">
        <v>22</v>
      </c>
      <c r="L153">
        <v>0.4</v>
      </c>
      <c r="M153">
        <v>7</v>
      </c>
      <c r="N153">
        <v>43</v>
      </c>
      <c r="O153">
        <v>50</v>
      </c>
      <c r="P153" s="2">
        <v>0.19700000000000001</v>
      </c>
      <c r="Q153" s="2">
        <v>0.25369999999999998</v>
      </c>
      <c r="R153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154" spans="1:18" ht="14.25" x14ac:dyDescent="0.2">
      <c r="A154">
        <v>153</v>
      </c>
      <c r="B154" s="5">
        <v>40550</v>
      </c>
      <c r="C154">
        <v>1</v>
      </c>
      <c r="D154">
        <v>15</v>
      </c>
      <c r="E154" t="b">
        <v>0</v>
      </c>
      <c r="F154">
        <v>5</v>
      </c>
      <c r="G154">
        <v>2</v>
      </c>
      <c r="H154">
        <v>0.2</v>
      </c>
      <c r="I154" t="s">
        <v>5</v>
      </c>
      <c r="J154" t="s">
        <v>21</v>
      </c>
      <c r="K154" t="s">
        <v>22</v>
      </c>
      <c r="L154">
        <v>0.37</v>
      </c>
      <c r="M154">
        <v>9</v>
      </c>
      <c r="N154">
        <v>63</v>
      </c>
      <c r="O154">
        <v>72</v>
      </c>
      <c r="P154" s="2">
        <v>0.21210000000000001</v>
      </c>
      <c r="Q154" s="2">
        <v>0.16420000000000001</v>
      </c>
      <c r="R154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155" spans="1:18" ht="14.25" x14ac:dyDescent="0.2">
      <c r="A155">
        <v>154</v>
      </c>
      <c r="B155" s="5">
        <v>40550</v>
      </c>
      <c r="C155">
        <v>1</v>
      </c>
      <c r="D155">
        <v>16</v>
      </c>
      <c r="E155" t="b">
        <v>0</v>
      </c>
      <c r="F155">
        <v>5</v>
      </c>
      <c r="G155">
        <v>2</v>
      </c>
      <c r="H155">
        <v>0.2</v>
      </c>
      <c r="I155" t="s">
        <v>5</v>
      </c>
      <c r="J155" t="s">
        <v>21</v>
      </c>
      <c r="K155" t="s">
        <v>22</v>
      </c>
      <c r="L155">
        <v>0.37</v>
      </c>
      <c r="M155">
        <v>5</v>
      </c>
      <c r="N155">
        <v>82</v>
      </c>
      <c r="O155">
        <v>87</v>
      </c>
      <c r="P155" s="2">
        <v>0.21210000000000001</v>
      </c>
      <c r="Q155" s="2">
        <v>0.16420000000000001</v>
      </c>
      <c r="R155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156" spans="1:18" ht="14.25" x14ac:dyDescent="0.2">
      <c r="A156">
        <v>155</v>
      </c>
      <c r="B156" s="5">
        <v>40550</v>
      </c>
      <c r="C156">
        <v>1</v>
      </c>
      <c r="D156">
        <v>17</v>
      </c>
      <c r="E156" t="b">
        <v>0</v>
      </c>
      <c r="F156">
        <v>5</v>
      </c>
      <c r="G156">
        <v>2</v>
      </c>
      <c r="H156">
        <v>0.2</v>
      </c>
      <c r="I156" t="s">
        <v>5</v>
      </c>
      <c r="J156" t="s">
        <v>21</v>
      </c>
      <c r="K156" t="s">
        <v>23</v>
      </c>
      <c r="L156">
        <v>0.37</v>
      </c>
      <c r="M156">
        <v>9</v>
      </c>
      <c r="N156">
        <v>178</v>
      </c>
      <c r="O156">
        <v>187</v>
      </c>
      <c r="P156" s="2">
        <v>0.2576</v>
      </c>
      <c r="Q156" s="2">
        <v>0</v>
      </c>
      <c r="R156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157" spans="1:18" ht="14.25" x14ac:dyDescent="0.2">
      <c r="A157">
        <v>156</v>
      </c>
      <c r="B157" s="5">
        <v>40550</v>
      </c>
      <c r="C157">
        <v>1</v>
      </c>
      <c r="D157">
        <v>18</v>
      </c>
      <c r="E157" t="b">
        <v>0</v>
      </c>
      <c r="F157">
        <v>5</v>
      </c>
      <c r="G157">
        <v>1</v>
      </c>
      <c r="H157">
        <v>0.2</v>
      </c>
      <c r="I157" t="s">
        <v>5</v>
      </c>
      <c r="J157" t="s">
        <v>19</v>
      </c>
      <c r="K157" t="s">
        <v>23</v>
      </c>
      <c r="L157">
        <v>0.4</v>
      </c>
      <c r="M157">
        <v>7</v>
      </c>
      <c r="N157">
        <v>116</v>
      </c>
      <c r="O157">
        <v>123</v>
      </c>
      <c r="P157" s="2">
        <v>0.2273</v>
      </c>
      <c r="Q157" s="2">
        <v>8.9599999999999999E-2</v>
      </c>
      <c r="R157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158" spans="1:18" ht="14.25" x14ac:dyDescent="0.2">
      <c r="A158">
        <v>157</v>
      </c>
      <c r="B158" s="5">
        <v>40550</v>
      </c>
      <c r="C158">
        <v>1</v>
      </c>
      <c r="D158">
        <v>19</v>
      </c>
      <c r="E158" t="b">
        <v>0</v>
      </c>
      <c r="F158">
        <v>5</v>
      </c>
      <c r="G158">
        <v>1</v>
      </c>
      <c r="H158">
        <v>0.16</v>
      </c>
      <c r="I158" t="s">
        <v>5</v>
      </c>
      <c r="J158" t="s">
        <v>19</v>
      </c>
      <c r="K158" t="s">
        <v>23</v>
      </c>
      <c r="L158">
        <v>0.55000000000000004</v>
      </c>
      <c r="M158">
        <v>3</v>
      </c>
      <c r="N158">
        <v>92</v>
      </c>
      <c r="O158">
        <v>95</v>
      </c>
      <c r="P158" s="2">
        <v>0.19700000000000001</v>
      </c>
      <c r="Q158" s="2">
        <v>8.9599999999999999E-2</v>
      </c>
      <c r="R158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159" spans="1:18" ht="14.25" x14ac:dyDescent="0.2">
      <c r="A159">
        <v>158</v>
      </c>
      <c r="B159" s="5">
        <v>40550</v>
      </c>
      <c r="C159">
        <v>1</v>
      </c>
      <c r="D159">
        <v>20</v>
      </c>
      <c r="E159" t="b">
        <v>0</v>
      </c>
      <c r="F159">
        <v>5</v>
      </c>
      <c r="G159">
        <v>1</v>
      </c>
      <c r="H159">
        <v>0.18</v>
      </c>
      <c r="I159" t="s">
        <v>5</v>
      </c>
      <c r="J159" t="s">
        <v>19</v>
      </c>
      <c r="K159" t="s">
        <v>23</v>
      </c>
      <c r="L159">
        <v>0.47</v>
      </c>
      <c r="M159">
        <v>1</v>
      </c>
      <c r="N159">
        <v>50</v>
      </c>
      <c r="O159">
        <v>51</v>
      </c>
      <c r="P159" s="2">
        <v>0.21210000000000001</v>
      </c>
      <c r="Q159" s="2">
        <v>0.1045</v>
      </c>
      <c r="R159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160" spans="1:18" ht="14.25" x14ac:dyDescent="0.2">
      <c r="A160">
        <v>159</v>
      </c>
      <c r="B160" s="5">
        <v>40550</v>
      </c>
      <c r="C160">
        <v>1</v>
      </c>
      <c r="D160">
        <v>21</v>
      </c>
      <c r="E160" t="b">
        <v>0</v>
      </c>
      <c r="F160">
        <v>5</v>
      </c>
      <c r="G160">
        <v>1</v>
      </c>
      <c r="H160">
        <v>0.18</v>
      </c>
      <c r="I160" t="s">
        <v>5</v>
      </c>
      <c r="J160" t="s">
        <v>19</v>
      </c>
      <c r="K160" t="s">
        <v>25</v>
      </c>
      <c r="L160">
        <v>0.47</v>
      </c>
      <c r="M160">
        <v>0</v>
      </c>
      <c r="N160">
        <v>39</v>
      </c>
      <c r="O160">
        <v>39</v>
      </c>
      <c r="P160" s="2">
        <v>0.19700000000000001</v>
      </c>
      <c r="Q160" s="2">
        <v>0.1343</v>
      </c>
      <c r="R160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161" spans="1:18" ht="14.25" x14ac:dyDescent="0.2">
      <c r="A161">
        <v>160</v>
      </c>
      <c r="B161" s="5">
        <v>40550</v>
      </c>
      <c r="C161">
        <v>1</v>
      </c>
      <c r="D161">
        <v>22</v>
      </c>
      <c r="E161" t="b">
        <v>0</v>
      </c>
      <c r="F161">
        <v>5</v>
      </c>
      <c r="G161">
        <v>2</v>
      </c>
      <c r="H161">
        <v>0.18</v>
      </c>
      <c r="I161" t="s">
        <v>5</v>
      </c>
      <c r="J161" t="s">
        <v>21</v>
      </c>
      <c r="K161" t="s">
        <v>25</v>
      </c>
      <c r="L161">
        <v>0.43</v>
      </c>
      <c r="M161">
        <v>2</v>
      </c>
      <c r="N161">
        <v>34</v>
      </c>
      <c r="O161">
        <v>36</v>
      </c>
      <c r="P161" s="2">
        <v>0.19700000000000001</v>
      </c>
      <c r="Q161" s="2">
        <v>0.16420000000000001</v>
      </c>
      <c r="R161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162" spans="1:18" ht="14.25" x14ac:dyDescent="0.2">
      <c r="A162">
        <v>161</v>
      </c>
      <c r="B162" s="5">
        <v>40550</v>
      </c>
      <c r="C162">
        <v>1</v>
      </c>
      <c r="D162">
        <v>23</v>
      </c>
      <c r="E162" t="b">
        <v>0</v>
      </c>
      <c r="F162">
        <v>5</v>
      </c>
      <c r="G162">
        <v>2</v>
      </c>
      <c r="H162">
        <v>0.18</v>
      </c>
      <c r="I162" t="s">
        <v>5</v>
      </c>
      <c r="J162" t="s">
        <v>21</v>
      </c>
      <c r="K162" t="s">
        <v>25</v>
      </c>
      <c r="L162">
        <v>0.51</v>
      </c>
      <c r="M162">
        <v>1</v>
      </c>
      <c r="N162">
        <v>14</v>
      </c>
      <c r="O162">
        <v>15</v>
      </c>
      <c r="P162" s="2">
        <v>0.19700000000000001</v>
      </c>
      <c r="Q162" s="2">
        <v>0.16420000000000001</v>
      </c>
      <c r="R162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163" spans="1:18" ht="14.25" x14ac:dyDescent="0.2">
      <c r="A163">
        <v>162</v>
      </c>
      <c r="B163" s="5">
        <v>40551</v>
      </c>
      <c r="C163">
        <v>1</v>
      </c>
      <c r="D163">
        <v>0</v>
      </c>
      <c r="E163" t="b">
        <v>0</v>
      </c>
      <c r="F163">
        <v>6</v>
      </c>
      <c r="G163">
        <v>2</v>
      </c>
      <c r="H163">
        <v>0.18</v>
      </c>
      <c r="I163" t="s">
        <v>18</v>
      </c>
      <c r="J163" t="s">
        <v>21</v>
      </c>
      <c r="K163" t="s">
        <v>20</v>
      </c>
      <c r="L163">
        <v>0.51</v>
      </c>
      <c r="M163">
        <v>1</v>
      </c>
      <c r="N163">
        <v>24</v>
      </c>
      <c r="O163">
        <v>25</v>
      </c>
      <c r="P163" s="2">
        <v>0.19700000000000001</v>
      </c>
      <c r="Q163" s="2">
        <v>0.16420000000000001</v>
      </c>
      <c r="R163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164" spans="1:18" ht="14.25" x14ac:dyDescent="0.2">
      <c r="A164">
        <v>163</v>
      </c>
      <c r="B164" s="5">
        <v>40551</v>
      </c>
      <c r="C164">
        <v>1</v>
      </c>
      <c r="D164">
        <v>1</v>
      </c>
      <c r="E164" t="b">
        <v>0</v>
      </c>
      <c r="F164">
        <v>6</v>
      </c>
      <c r="G164">
        <v>2</v>
      </c>
      <c r="H164">
        <v>0.18</v>
      </c>
      <c r="I164" t="s">
        <v>18</v>
      </c>
      <c r="J164" t="s">
        <v>21</v>
      </c>
      <c r="K164" t="s">
        <v>20</v>
      </c>
      <c r="L164">
        <v>0.55000000000000004</v>
      </c>
      <c r="M164">
        <v>1</v>
      </c>
      <c r="N164">
        <v>15</v>
      </c>
      <c r="O164">
        <v>16</v>
      </c>
      <c r="P164" s="2">
        <v>0.21210000000000001</v>
      </c>
      <c r="Q164" s="2">
        <v>8.9599999999999999E-2</v>
      </c>
      <c r="R164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165" spans="1:18" ht="14.25" x14ac:dyDescent="0.2">
      <c r="A165">
        <v>164</v>
      </c>
      <c r="B165" s="5">
        <v>40551</v>
      </c>
      <c r="C165">
        <v>1</v>
      </c>
      <c r="D165">
        <v>2</v>
      </c>
      <c r="E165" t="b">
        <v>0</v>
      </c>
      <c r="F165">
        <v>6</v>
      </c>
      <c r="G165">
        <v>2</v>
      </c>
      <c r="H165">
        <v>0.18</v>
      </c>
      <c r="I165" t="s">
        <v>18</v>
      </c>
      <c r="J165" t="s">
        <v>21</v>
      </c>
      <c r="K165" t="s">
        <v>20</v>
      </c>
      <c r="L165">
        <v>0.55000000000000004</v>
      </c>
      <c r="M165">
        <v>3</v>
      </c>
      <c r="N165">
        <v>13</v>
      </c>
      <c r="O165">
        <v>16</v>
      </c>
      <c r="P165" s="2">
        <v>0.2424</v>
      </c>
      <c r="Q165" s="2">
        <v>0</v>
      </c>
      <c r="R165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166" spans="1:18" ht="14.25" x14ac:dyDescent="0.2">
      <c r="A166">
        <v>165</v>
      </c>
      <c r="B166" s="5">
        <v>40551</v>
      </c>
      <c r="C166">
        <v>1</v>
      </c>
      <c r="D166">
        <v>3</v>
      </c>
      <c r="E166" t="b">
        <v>0</v>
      </c>
      <c r="F166">
        <v>6</v>
      </c>
      <c r="G166">
        <v>3</v>
      </c>
      <c r="H166">
        <v>0.18</v>
      </c>
      <c r="I166" t="s">
        <v>18</v>
      </c>
      <c r="J166" t="s">
        <v>24</v>
      </c>
      <c r="K166" t="s">
        <v>20</v>
      </c>
      <c r="L166">
        <v>0.55000000000000004</v>
      </c>
      <c r="M166">
        <v>0</v>
      </c>
      <c r="N166">
        <v>7</v>
      </c>
      <c r="O166">
        <v>7</v>
      </c>
      <c r="P166" s="2">
        <v>0.19700000000000001</v>
      </c>
      <c r="Q166" s="2">
        <v>0.16420000000000001</v>
      </c>
      <c r="R166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167" spans="1:18" ht="14.25" x14ac:dyDescent="0.2">
      <c r="A167">
        <v>166</v>
      </c>
      <c r="B167" s="5">
        <v>40551</v>
      </c>
      <c r="C167">
        <v>1</v>
      </c>
      <c r="D167">
        <v>4</v>
      </c>
      <c r="E167" t="b">
        <v>0</v>
      </c>
      <c r="F167">
        <v>6</v>
      </c>
      <c r="G167">
        <v>3</v>
      </c>
      <c r="H167">
        <v>0.18</v>
      </c>
      <c r="I167" t="s">
        <v>18</v>
      </c>
      <c r="J167" t="s">
        <v>24</v>
      </c>
      <c r="K167" t="s">
        <v>20</v>
      </c>
      <c r="L167">
        <v>0.55000000000000004</v>
      </c>
      <c r="M167">
        <v>0</v>
      </c>
      <c r="N167">
        <v>1</v>
      </c>
      <c r="O167">
        <v>1</v>
      </c>
      <c r="P167" s="2">
        <v>0.19700000000000001</v>
      </c>
      <c r="Q167" s="2">
        <v>0.16420000000000001</v>
      </c>
      <c r="R167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168" spans="1:18" ht="14.25" x14ac:dyDescent="0.2">
      <c r="A168">
        <v>167</v>
      </c>
      <c r="B168" s="5">
        <v>40551</v>
      </c>
      <c r="C168">
        <v>1</v>
      </c>
      <c r="D168">
        <v>5</v>
      </c>
      <c r="E168" t="b">
        <v>0</v>
      </c>
      <c r="F168">
        <v>6</v>
      </c>
      <c r="G168">
        <v>2</v>
      </c>
      <c r="H168">
        <v>0.16</v>
      </c>
      <c r="I168" t="s">
        <v>18</v>
      </c>
      <c r="J168" t="s">
        <v>21</v>
      </c>
      <c r="K168" t="s">
        <v>20</v>
      </c>
      <c r="L168">
        <v>0.74</v>
      </c>
      <c r="M168">
        <v>0</v>
      </c>
      <c r="N168">
        <v>5</v>
      </c>
      <c r="O168">
        <v>5</v>
      </c>
      <c r="P168" s="2">
        <v>0.16669999999999999</v>
      </c>
      <c r="Q168" s="2">
        <v>0.16420000000000001</v>
      </c>
      <c r="R168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169" spans="1:18" ht="14.25" x14ac:dyDescent="0.2">
      <c r="A169">
        <v>168</v>
      </c>
      <c r="B169" s="5">
        <v>40551</v>
      </c>
      <c r="C169">
        <v>1</v>
      </c>
      <c r="D169">
        <v>6</v>
      </c>
      <c r="E169" t="b">
        <v>0</v>
      </c>
      <c r="F169">
        <v>6</v>
      </c>
      <c r="G169">
        <v>2</v>
      </c>
      <c r="H169">
        <v>0.16</v>
      </c>
      <c r="I169" t="s">
        <v>18</v>
      </c>
      <c r="J169" t="s">
        <v>21</v>
      </c>
      <c r="K169" t="s">
        <v>20</v>
      </c>
      <c r="L169">
        <v>0.74</v>
      </c>
      <c r="M169">
        <v>0</v>
      </c>
      <c r="N169">
        <v>2</v>
      </c>
      <c r="O169">
        <v>2</v>
      </c>
      <c r="P169" s="2">
        <v>0.16669999999999999</v>
      </c>
      <c r="Q169" s="2">
        <v>0.16420000000000001</v>
      </c>
      <c r="R169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170" spans="1:18" ht="14.25" x14ac:dyDescent="0.2">
      <c r="A170">
        <v>169</v>
      </c>
      <c r="B170" s="5">
        <v>40551</v>
      </c>
      <c r="C170">
        <v>1</v>
      </c>
      <c r="D170">
        <v>7</v>
      </c>
      <c r="E170" t="b">
        <v>0</v>
      </c>
      <c r="F170">
        <v>6</v>
      </c>
      <c r="G170">
        <v>2</v>
      </c>
      <c r="H170">
        <v>0.16</v>
      </c>
      <c r="I170" t="s">
        <v>18</v>
      </c>
      <c r="J170" t="s">
        <v>21</v>
      </c>
      <c r="K170" t="s">
        <v>20</v>
      </c>
      <c r="L170">
        <v>0.74</v>
      </c>
      <c r="M170">
        <v>1</v>
      </c>
      <c r="N170">
        <v>8</v>
      </c>
      <c r="O170">
        <v>9</v>
      </c>
      <c r="P170" s="2">
        <v>0.18179999999999999</v>
      </c>
      <c r="Q170" s="2">
        <v>0.1045</v>
      </c>
      <c r="R170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171" spans="1:18" ht="14.25" x14ac:dyDescent="0.2">
      <c r="A171">
        <v>170</v>
      </c>
      <c r="B171" s="5">
        <v>40551</v>
      </c>
      <c r="C171">
        <v>1</v>
      </c>
      <c r="D171">
        <v>8</v>
      </c>
      <c r="E171" t="b">
        <v>0</v>
      </c>
      <c r="F171">
        <v>6</v>
      </c>
      <c r="G171">
        <v>3</v>
      </c>
      <c r="H171">
        <v>0.16</v>
      </c>
      <c r="I171" t="s">
        <v>18</v>
      </c>
      <c r="J171" t="s">
        <v>24</v>
      </c>
      <c r="K171" t="s">
        <v>20</v>
      </c>
      <c r="L171">
        <v>0.93</v>
      </c>
      <c r="M171">
        <v>0</v>
      </c>
      <c r="N171">
        <v>15</v>
      </c>
      <c r="O171">
        <v>15</v>
      </c>
      <c r="P171" s="2">
        <v>0.18179999999999999</v>
      </c>
      <c r="Q171" s="2">
        <v>0.1045</v>
      </c>
      <c r="R171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172" spans="1:18" ht="14.25" x14ac:dyDescent="0.2">
      <c r="A172">
        <v>171</v>
      </c>
      <c r="B172" s="5">
        <v>40551</v>
      </c>
      <c r="C172">
        <v>1</v>
      </c>
      <c r="D172">
        <v>9</v>
      </c>
      <c r="E172" t="b">
        <v>0</v>
      </c>
      <c r="F172">
        <v>6</v>
      </c>
      <c r="G172">
        <v>3</v>
      </c>
      <c r="H172">
        <v>0.16</v>
      </c>
      <c r="I172" t="s">
        <v>18</v>
      </c>
      <c r="J172" t="s">
        <v>24</v>
      </c>
      <c r="K172" t="s">
        <v>20</v>
      </c>
      <c r="L172">
        <v>0.93</v>
      </c>
      <c r="M172">
        <v>0</v>
      </c>
      <c r="N172">
        <v>20</v>
      </c>
      <c r="O172">
        <v>20</v>
      </c>
      <c r="P172" s="2">
        <v>0.18179999999999999</v>
      </c>
      <c r="Q172" s="2">
        <v>0.1045</v>
      </c>
      <c r="R172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173" spans="1:18" ht="14.25" x14ac:dyDescent="0.2">
      <c r="A173">
        <v>172</v>
      </c>
      <c r="B173" s="5">
        <v>40551</v>
      </c>
      <c r="C173">
        <v>1</v>
      </c>
      <c r="D173">
        <v>10</v>
      </c>
      <c r="E173" t="b">
        <v>0</v>
      </c>
      <c r="F173">
        <v>6</v>
      </c>
      <c r="G173">
        <v>2</v>
      </c>
      <c r="H173">
        <v>0.18</v>
      </c>
      <c r="I173" t="s">
        <v>18</v>
      </c>
      <c r="J173" t="s">
        <v>21</v>
      </c>
      <c r="K173" t="s">
        <v>20</v>
      </c>
      <c r="L173">
        <v>0.8</v>
      </c>
      <c r="M173">
        <v>5</v>
      </c>
      <c r="N173">
        <v>56</v>
      </c>
      <c r="O173">
        <v>61</v>
      </c>
      <c r="P173" s="2">
        <v>0.19700000000000001</v>
      </c>
      <c r="Q173" s="2">
        <v>0.16420000000000001</v>
      </c>
      <c r="R173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174" spans="1:18" ht="14.25" x14ac:dyDescent="0.2">
      <c r="A174">
        <v>173</v>
      </c>
      <c r="B174" s="5">
        <v>40551</v>
      </c>
      <c r="C174">
        <v>1</v>
      </c>
      <c r="D174">
        <v>11</v>
      </c>
      <c r="E174" t="b">
        <v>0</v>
      </c>
      <c r="F174">
        <v>6</v>
      </c>
      <c r="G174">
        <v>2</v>
      </c>
      <c r="H174">
        <v>0.2</v>
      </c>
      <c r="I174" t="s">
        <v>18</v>
      </c>
      <c r="J174" t="s">
        <v>21</v>
      </c>
      <c r="K174" t="s">
        <v>20</v>
      </c>
      <c r="L174">
        <v>0.69</v>
      </c>
      <c r="M174">
        <v>2</v>
      </c>
      <c r="N174">
        <v>60</v>
      </c>
      <c r="O174">
        <v>62</v>
      </c>
      <c r="P174" s="2">
        <v>0.18179999999999999</v>
      </c>
      <c r="Q174" s="2">
        <v>0.3881</v>
      </c>
      <c r="R174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175" spans="1:18" ht="14.25" x14ac:dyDescent="0.2">
      <c r="A175">
        <v>174</v>
      </c>
      <c r="B175" s="5">
        <v>40551</v>
      </c>
      <c r="C175">
        <v>1</v>
      </c>
      <c r="D175">
        <v>12</v>
      </c>
      <c r="E175" t="b">
        <v>0</v>
      </c>
      <c r="F175">
        <v>6</v>
      </c>
      <c r="G175">
        <v>2</v>
      </c>
      <c r="H175">
        <v>0.2</v>
      </c>
      <c r="I175" t="s">
        <v>18</v>
      </c>
      <c r="J175" t="s">
        <v>21</v>
      </c>
      <c r="K175" t="s">
        <v>22</v>
      </c>
      <c r="L175">
        <v>0.59</v>
      </c>
      <c r="M175">
        <v>8</v>
      </c>
      <c r="N175">
        <v>90</v>
      </c>
      <c r="O175">
        <v>98</v>
      </c>
      <c r="P175" s="2">
        <v>0.18179999999999999</v>
      </c>
      <c r="Q175" s="2">
        <v>0.35820000000000002</v>
      </c>
      <c r="R175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176" spans="1:18" ht="14.25" x14ac:dyDescent="0.2">
      <c r="A176">
        <v>175</v>
      </c>
      <c r="B176" s="5">
        <v>40551</v>
      </c>
      <c r="C176">
        <v>1</v>
      </c>
      <c r="D176">
        <v>13</v>
      </c>
      <c r="E176" t="b">
        <v>0</v>
      </c>
      <c r="F176">
        <v>6</v>
      </c>
      <c r="G176">
        <v>1</v>
      </c>
      <c r="H176">
        <v>0.2</v>
      </c>
      <c r="I176" t="s">
        <v>18</v>
      </c>
      <c r="J176" t="s">
        <v>19</v>
      </c>
      <c r="K176" t="s">
        <v>22</v>
      </c>
      <c r="L176">
        <v>0.44</v>
      </c>
      <c r="M176">
        <v>7</v>
      </c>
      <c r="N176">
        <v>95</v>
      </c>
      <c r="O176">
        <v>102</v>
      </c>
      <c r="P176" s="2">
        <v>0.18179999999999999</v>
      </c>
      <c r="Q176" s="2">
        <v>0.32840000000000003</v>
      </c>
      <c r="R176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177" spans="1:18" ht="14.25" x14ac:dyDescent="0.2">
      <c r="A177">
        <v>176</v>
      </c>
      <c r="B177" s="5">
        <v>40551</v>
      </c>
      <c r="C177">
        <v>1</v>
      </c>
      <c r="D177">
        <v>14</v>
      </c>
      <c r="E177" t="b">
        <v>0</v>
      </c>
      <c r="F177">
        <v>6</v>
      </c>
      <c r="G177">
        <v>1</v>
      </c>
      <c r="H177">
        <v>0.2</v>
      </c>
      <c r="I177" t="s">
        <v>18</v>
      </c>
      <c r="J177" t="s">
        <v>19</v>
      </c>
      <c r="K177" t="s">
        <v>22</v>
      </c>
      <c r="L177">
        <v>0.32</v>
      </c>
      <c r="M177">
        <v>12</v>
      </c>
      <c r="N177">
        <v>83</v>
      </c>
      <c r="O177">
        <v>95</v>
      </c>
      <c r="P177" s="2">
        <v>0.16669999999999999</v>
      </c>
      <c r="Q177" s="2">
        <v>0.49249999999999999</v>
      </c>
      <c r="R177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178" spans="1:18" ht="14.25" x14ac:dyDescent="0.2">
      <c r="A178">
        <v>177</v>
      </c>
      <c r="B178" s="5">
        <v>40551</v>
      </c>
      <c r="C178">
        <v>1</v>
      </c>
      <c r="D178">
        <v>15</v>
      </c>
      <c r="E178" t="b">
        <v>0</v>
      </c>
      <c r="F178">
        <v>6</v>
      </c>
      <c r="G178">
        <v>1</v>
      </c>
      <c r="H178">
        <v>0.2</v>
      </c>
      <c r="I178" t="s">
        <v>18</v>
      </c>
      <c r="J178" t="s">
        <v>19</v>
      </c>
      <c r="K178" t="s">
        <v>22</v>
      </c>
      <c r="L178">
        <v>0.32</v>
      </c>
      <c r="M178">
        <v>5</v>
      </c>
      <c r="N178">
        <v>69</v>
      </c>
      <c r="O178">
        <v>74</v>
      </c>
      <c r="P178" s="2">
        <v>0.16669999999999999</v>
      </c>
      <c r="Q178" s="2">
        <v>0.44779999999999998</v>
      </c>
      <c r="R178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179" spans="1:18" ht="14.25" x14ac:dyDescent="0.2">
      <c r="A179">
        <v>178</v>
      </c>
      <c r="B179" s="5">
        <v>40551</v>
      </c>
      <c r="C179">
        <v>1</v>
      </c>
      <c r="D179">
        <v>16</v>
      </c>
      <c r="E179" t="b">
        <v>0</v>
      </c>
      <c r="F179">
        <v>6</v>
      </c>
      <c r="G179">
        <v>1</v>
      </c>
      <c r="H179">
        <v>0.18</v>
      </c>
      <c r="I179" t="s">
        <v>18</v>
      </c>
      <c r="J179" t="s">
        <v>19</v>
      </c>
      <c r="K179" t="s">
        <v>22</v>
      </c>
      <c r="L179">
        <v>0.28999999999999998</v>
      </c>
      <c r="M179">
        <v>8</v>
      </c>
      <c r="N179">
        <v>68</v>
      </c>
      <c r="O179">
        <v>76</v>
      </c>
      <c r="P179" s="2">
        <v>0.13639999999999999</v>
      </c>
      <c r="Q179" s="2">
        <v>0.44779999999999998</v>
      </c>
      <c r="R179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180" spans="1:18" ht="14.25" x14ac:dyDescent="0.2">
      <c r="A180">
        <v>179</v>
      </c>
      <c r="B180" s="5">
        <v>40551</v>
      </c>
      <c r="C180">
        <v>1</v>
      </c>
      <c r="D180">
        <v>17</v>
      </c>
      <c r="E180" t="b">
        <v>0</v>
      </c>
      <c r="F180">
        <v>6</v>
      </c>
      <c r="G180">
        <v>1</v>
      </c>
      <c r="H180">
        <v>0.16</v>
      </c>
      <c r="I180" t="s">
        <v>18</v>
      </c>
      <c r="J180" t="s">
        <v>19</v>
      </c>
      <c r="K180" t="s">
        <v>23</v>
      </c>
      <c r="L180">
        <v>0.37</v>
      </c>
      <c r="M180">
        <v>5</v>
      </c>
      <c r="N180">
        <v>64</v>
      </c>
      <c r="O180">
        <v>69</v>
      </c>
      <c r="P180" s="2">
        <v>0.1212</v>
      </c>
      <c r="Q180" s="2">
        <v>0.55220000000000002</v>
      </c>
      <c r="R180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181" spans="1:18" ht="14.25" x14ac:dyDescent="0.2">
      <c r="A181">
        <v>180</v>
      </c>
      <c r="B181" s="5">
        <v>40551</v>
      </c>
      <c r="C181">
        <v>1</v>
      </c>
      <c r="D181">
        <v>18</v>
      </c>
      <c r="E181" t="b">
        <v>0</v>
      </c>
      <c r="F181">
        <v>6</v>
      </c>
      <c r="G181">
        <v>1</v>
      </c>
      <c r="H181">
        <v>0.14000000000000001</v>
      </c>
      <c r="I181" t="s">
        <v>18</v>
      </c>
      <c r="J181" t="s">
        <v>19</v>
      </c>
      <c r="K181" t="s">
        <v>23</v>
      </c>
      <c r="L181">
        <v>0.39</v>
      </c>
      <c r="M181">
        <v>3</v>
      </c>
      <c r="N181">
        <v>52</v>
      </c>
      <c r="O181">
        <v>55</v>
      </c>
      <c r="P181" s="2">
        <v>0.1212</v>
      </c>
      <c r="Q181" s="2">
        <v>0.29849999999999999</v>
      </c>
      <c r="R181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182" spans="1:18" ht="14.25" x14ac:dyDescent="0.2">
      <c r="A182">
        <v>181</v>
      </c>
      <c r="B182" s="5">
        <v>40551</v>
      </c>
      <c r="C182">
        <v>1</v>
      </c>
      <c r="D182">
        <v>19</v>
      </c>
      <c r="E182" t="b">
        <v>0</v>
      </c>
      <c r="F182">
        <v>6</v>
      </c>
      <c r="G182">
        <v>1</v>
      </c>
      <c r="H182">
        <v>0.14000000000000001</v>
      </c>
      <c r="I182" t="s">
        <v>18</v>
      </c>
      <c r="J182" t="s">
        <v>19</v>
      </c>
      <c r="K182" t="s">
        <v>23</v>
      </c>
      <c r="L182">
        <v>0.36</v>
      </c>
      <c r="M182">
        <v>4</v>
      </c>
      <c r="N182">
        <v>26</v>
      </c>
      <c r="O182">
        <v>30</v>
      </c>
      <c r="P182" s="2">
        <v>0.1212</v>
      </c>
      <c r="Q182" s="2">
        <v>0.25369999999999998</v>
      </c>
      <c r="R182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183" spans="1:18" ht="14.25" x14ac:dyDescent="0.2">
      <c r="A183">
        <v>182</v>
      </c>
      <c r="B183" s="5">
        <v>40551</v>
      </c>
      <c r="C183">
        <v>1</v>
      </c>
      <c r="D183">
        <v>20</v>
      </c>
      <c r="E183" t="b">
        <v>0</v>
      </c>
      <c r="F183">
        <v>6</v>
      </c>
      <c r="G183">
        <v>1</v>
      </c>
      <c r="H183">
        <v>0.12</v>
      </c>
      <c r="I183" t="s">
        <v>18</v>
      </c>
      <c r="J183" t="s">
        <v>19</v>
      </c>
      <c r="K183" t="s">
        <v>23</v>
      </c>
      <c r="L183">
        <v>0.36</v>
      </c>
      <c r="M183">
        <v>0</v>
      </c>
      <c r="N183">
        <v>28</v>
      </c>
      <c r="O183">
        <v>28</v>
      </c>
      <c r="P183" s="2">
        <v>0.1212</v>
      </c>
      <c r="Q183" s="2">
        <v>0.25369999999999998</v>
      </c>
      <c r="R183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184" spans="1:18" ht="14.25" x14ac:dyDescent="0.2">
      <c r="A184">
        <v>183</v>
      </c>
      <c r="B184" s="5">
        <v>40551</v>
      </c>
      <c r="C184">
        <v>1</v>
      </c>
      <c r="D184">
        <v>21</v>
      </c>
      <c r="E184" t="b">
        <v>0</v>
      </c>
      <c r="F184">
        <v>6</v>
      </c>
      <c r="G184">
        <v>1</v>
      </c>
      <c r="H184">
        <v>0.12</v>
      </c>
      <c r="I184" t="s">
        <v>18</v>
      </c>
      <c r="J184" t="s">
        <v>19</v>
      </c>
      <c r="K184" t="s">
        <v>25</v>
      </c>
      <c r="L184">
        <v>0.39</v>
      </c>
      <c r="M184">
        <v>2</v>
      </c>
      <c r="N184">
        <v>35</v>
      </c>
      <c r="O184">
        <v>37</v>
      </c>
      <c r="P184" s="2">
        <v>0.1061</v>
      </c>
      <c r="Q184" s="2">
        <v>0.35820000000000002</v>
      </c>
      <c r="R184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185" spans="1:18" ht="14.25" x14ac:dyDescent="0.2">
      <c r="A185">
        <v>184</v>
      </c>
      <c r="B185" s="5">
        <v>40551</v>
      </c>
      <c r="C185">
        <v>1</v>
      </c>
      <c r="D185">
        <v>22</v>
      </c>
      <c r="E185" t="b">
        <v>0</v>
      </c>
      <c r="F185">
        <v>6</v>
      </c>
      <c r="G185">
        <v>1</v>
      </c>
      <c r="H185">
        <v>0.12</v>
      </c>
      <c r="I185" t="s">
        <v>18</v>
      </c>
      <c r="J185" t="s">
        <v>19</v>
      </c>
      <c r="K185" t="s">
        <v>25</v>
      </c>
      <c r="L185">
        <v>0.36</v>
      </c>
      <c r="M185">
        <v>1</v>
      </c>
      <c r="N185">
        <v>33</v>
      </c>
      <c r="O185">
        <v>34</v>
      </c>
      <c r="P185" s="2">
        <v>0.1061</v>
      </c>
      <c r="Q185" s="2">
        <v>0.3881</v>
      </c>
      <c r="R185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186" spans="1:18" ht="14.25" x14ac:dyDescent="0.2">
      <c r="A186">
        <v>185</v>
      </c>
      <c r="B186" s="5">
        <v>40551</v>
      </c>
      <c r="C186">
        <v>1</v>
      </c>
      <c r="D186">
        <v>23</v>
      </c>
      <c r="E186" t="b">
        <v>0</v>
      </c>
      <c r="F186">
        <v>6</v>
      </c>
      <c r="G186">
        <v>1</v>
      </c>
      <c r="H186">
        <v>0.1</v>
      </c>
      <c r="I186" t="s">
        <v>18</v>
      </c>
      <c r="J186" t="s">
        <v>19</v>
      </c>
      <c r="K186" t="s">
        <v>25</v>
      </c>
      <c r="L186">
        <v>0.39</v>
      </c>
      <c r="M186">
        <v>0</v>
      </c>
      <c r="N186">
        <v>22</v>
      </c>
      <c r="O186">
        <v>22</v>
      </c>
      <c r="P186" s="2">
        <v>6.0600000000000001E-2</v>
      </c>
      <c r="Q186" s="2">
        <v>0.44779999999999998</v>
      </c>
      <c r="R186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187" spans="1:18" ht="14.25" x14ac:dyDescent="0.2">
      <c r="A187">
        <v>186</v>
      </c>
      <c r="B187" s="5">
        <v>40552</v>
      </c>
      <c r="C187">
        <v>1</v>
      </c>
      <c r="D187">
        <v>0</v>
      </c>
      <c r="E187" t="b">
        <v>0</v>
      </c>
      <c r="F187">
        <v>0</v>
      </c>
      <c r="G187">
        <v>1</v>
      </c>
      <c r="H187">
        <v>0.1</v>
      </c>
      <c r="I187" t="s">
        <v>5</v>
      </c>
      <c r="J187" t="s">
        <v>19</v>
      </c>
      <c r="K187" t="s">
        <v>20</v>
      </c>
      <c r="L187">
        <v>0.42</v>
      </c>
      <c r="M187">
        <v>1</v>
      </c>
      <c r="N187">
        <v>24</v>
      </c>
      <c r="O187">
        <v>25</v>
      </c>
      <c r="P187" s="2">
        <v>7.5800000000000006E-2</v>
      </c>
      <c r="Q187" s="2">
        <v>0.3881</v>
      </c>
      <c r="R187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188" spans="1:18" ht="14.25" x14ac:dyDescent="0.2">
      <c r="A188">
        <v>187</v>
      </c>
      <c r="B188" s="5">
        <v>40552</v>
      </c>
      <c r="C188">
        <v>1</v>
      </c>
      <c r="D188">
        <v>1</v>
      </c>
      <c r="E188" t="b">
        <v>0</v>
      </c>
      <c r="F188">
        <v>0</v>
      </c>
      <c r="G188">
        <v>1</v>
      </c>
      <c r="H188">
        <v>0.1</v>
      </c>
      <c r="I188" t="s">
        <v>5</v>
      </c>
      <c r="J188" t="s">
        <v>19</v>
      </c>
      <c r="K188" t="s">
        <v>20</v>
      </c>
      <c r="L188">
        <v>0.42</v>
      </c>
      <c r="M188">
        <v>0</v>
      </c>
      <c r="N188">
        <v>12</v>
      </c>
      <c r="O188">
        <v>12</v>
      </c>
      <c r="P188" s="2">
        <v>6.0600000000000001E-2</v>
      </c>
      <c r="Q188" s="2">
        <v>0.4627</v>
      </c>
      <c r="R188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189" spans="1:18" ht="14.25" x14ac:dyDescent="0.2">
      <c r="A189">
        <v>188</v>
      </c>
      <c r="B189" s="5">
        <v>40552</v>
      </c>
      <c r="C189">
        <v>1</v>
      </c>
      <c r="D189">
        <v>2</v>
      </c>
      <c r="E189" t="b">
        <v>0</v>
      </c>
      <c r="F189">
        <v>0</v>
      </c>
      <c r="G189">
        <v>1</v>
      </c>
      <c r="H189">
        <v>0.1</v>
      </c>
      <c r="I189" t="s">
        <v>5</v>
      </c>
      <c r="J189" t="s">
        <v>19</v>
      </c>
      <c r="K189" t="s">
        <v>20</v>
      </c>
      <c r="L189">
        <v>0.46</v>
      </c>
      <c r="M189">
        <v>0</v>
      </c>
      <c r="N189">
        <v>11</v>
      </c>
      <c r="O189">
        <v>11</v>
      </c>
      <c r="P189" s="2">
        <v>6.0600000000000001E-2</v>
      </c>
      <c r="Q189" s="2">
        <v>0.4627</v>
      </c>
      <c r="R189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190" spans="1:18" ht="14.25" x14ac:dyDescent="0.2">
      <c r="A190">
        <v>189</v>
      </c>
      <c r="B190" s="5">
        <v>40552</v>
      </c>
      <c r="C190">
        <v>1</v>
      </c>
      <c r="D190">
        <v>3</v>
      </c>
      <c r="E190" t="b">
        <v>0</v>
      </c>
      <c r="F190">
        <v>0</v>
      </c>
      <c r="G190">
        <v>1</v>
      </c>
      <c r="H190">
        <v>0.1</v>
      </c>
      <c r="I190" t="s">
        <v>5</v>
      </c>
      <c r="J190" t="s">
        <v>19</v>
      </c>
      <c r="K190" t="s">
        <v>20</v>
      </c>
      <c r="L190">
        <v>0.46</v>
      </c>
      <c r="M190">
        <v>0</v>
      </c>
      <c r="N190">
        <v>4</v>
      </c>
      <c r="O190">
        <v>4</v>
      </c>
      <c r="P190" s="2">
        <v>7.5800000000000006E-2</v>
      </c>
      <c r="Q190" s="2">
        <v>0.41789999999999999</v>
      </c>
      <c r="R190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191" spans="1:18" ht="14.25" x14ac:dyDescent="0.2">
      <c r="A191">
        <v>190</v>
      </c>
      <c r="B191" s="5">
        <v>40552</v>
      </c>
      <c r="C191">
        <v>1</v>
      </c>
      <c r="D191">
        <v>4</v>
      </c>
      <c r="E191" t="b">
        <v>0</v>
      </c>
      <c r="F191">
        <v>0</v>
      </c>
      <c r="G191">
        <v>1</v>
      </c>
      <c r="H191">
        <v>0.08</v>
      </c>
      <c r="I191" t="s">
        <v>5</v>
      </c>
      <c r="J191" t="s">
        <v>19</v>
      </c>
      <c r="K191" t="s">
        <v>20</v>
      </c>
      <c r="L191">
        <v>0.53</v>
      </c>
      <c r="M191">
        <v>0</v>
      </c>
      <c r="N191">
        <v>1</v>
      </c>
      <c r="O191">
        <v>1</v>
      </c>
      <c r="P191" s="2">
        <v>9.0899999999999995E-2</v>
      </c>
      <c r="Q191" s="2">
        <v>0.19400000000000001</v>
      </c>
      <c r="R191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192" spans="1:18" ht="14.25" x14ac:dyDescent="0.2">
      <c r="A192">
        <v>191</v>
      </c>
      <c r="B192" s="5">
        <v>40552</v>
      </c>
      <c r="C192">
        <v>1</v>
      </c>
      <c r="D192">
        <v>5</v>
      </c>
      <c r="E192" t="b">
        <v>0</v>
      </c>
      <c r="F192">
        <v>0</v>
      </c>
      <c r="G192">
        <v>1</v>
      </c>
      <c r="H192">
        <v>0.08</v>
      </c>
      <c r="I192" t="s">
        <v>5</v>
      </c>
      <c r="J192" t="s">
        <v>19</v>
      </c>
      <c r="K192" t="s">
        <v>20</v>
      </c>
      <c r="L192">
        <v>0.53</v>
      </c>
      <c r="M192">
        <v>0</v>
      </c>
      <c r="N192">
        <v>1</v>
      </c>
      <c r="O192">
        <v>1</v>
      </c>
      <c r="P192" s="2">
        <v>9.0899999999999995E-2</v>
      </c>
      <c r="Q192" s="2">
        <v>0.19400000000000001</v>
      </c>
      <c r="R192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193" spans="1:18" ht="14.25" x14ac:dyDescent="0.2">
      <c r="A193">
        <v>192</v>
      </c>
      <c r="B193" s="5">
        <v>40552</v>
      </c>
      <c r="C193">
        <v>1</v>
      </c>
      <c r="D193">
        <v>6</v>
      </c>
      <c r="E193" t="b">
        <v>0</v>
      </c>
      <c r="F193">
        <v>0</v>
      </c>
      <c r="G193">
        <v>1</v>
      </c>
      <c r="H193">
        <v>0.1</v>
      </c>
      <c r="I193" t="s">
        <v>5</v>
      </c>
      <c r="J193" t="s">
        <v>19</v>
      </c>
      <c r="K193" t="s">
        <v>20</v>
      </c>
      <c r="L193">
        <v>0.49</v>
      </c>
      <c r="M193">
        <v>0</v>
      </c>
      <c r="N193">
        <v>1</v>
      </c>
      <c r="O193">
        <v>1</v>
      </c>
      <c r="P193" s="2">
        <v>9.0899999999999995E-2</v>
      </c>
      <c r="Q193" s="2">
        <v>0.28360000000000002</v>
      </c>
      <c r="R193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194" spans="1:18" ht="14.25" x14ac:dyDescent="0.2">
      <c r="A194">
        <v>193</v>
      </c>
      <c r="B194" s="5">
        <v>40552</v>
      </c>
      <c r="C194">
        <v>1</v>
      </c>
      <c r="D194">
        <v>7</v>
      </c>
      <c r="E194" t="b">
        <v>0</v>
      </c>
      <c r="F194">
        <v>0</v>
      </c>
      <c r="G194">
        <v>1</v>
      </c>
      <c r="H194">
        <v>0.08</v>
      </c>
      <c r="I194" t="s">
        <v>5</v>
      </c>
      <c r="J194" t="s">
        <v>19</v>
      </c>
      <c r="K194" t="s">
        <v>20</v>
      </c>
      <c r="L194">
        <v>0.53</v>
      </c>
      <c r="M194">
        <v>1</v>
      </c>
      <c r="N194">
        <v>5</v>
      </c>
      <c r="O194">
        <v>6</v>
      </c>
      <c r="P194" s="2">
        <v>9.0899999999999995E-2</v>
      </c>
      <c r="Q194" s="2">
        <v>0.19400000000000001</v>
      </c>
      <c r="R194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195" spans="1:18" ht="14.25" x14ac:dyDescent="0.2">
      <c r="A195">
        <v>194</v>
      </c>
      <c r="B195" s="5">
        <v>40552</v>
      </c>
      <c r="C195">
        <v>1</v>
      </c>
      <c r="D195">
        <v>8</v>
      </c>
      <c r="E195" t="b">
        <v>0</v>
      </c>
      <c r="F195">
        <v>0</v>
      </c>
      <c r="G195">
        <v>1</v>
      </c>
      <c r="H195">
        <v>0.1</v>
      </c>
      <c r="I195" t="s">
        <v>5</v>
      </c>
      <c r="J195" t="s">
        <v>19</v>
      </c>
      <c r="K195" t="s">
        <v>20</v>
      </c>
      <c r="L195">
        <v>0.49</v>
      </c>
      <c r="M195">
        <v>0</v>
      </c>
      <c r="N195">
        <v>10</v>
      </c>
      <c r="O195">
        <v>10</v>
      </c>
      <c r="P195" s="2">
        <v>9.0899999999999995E-2</v>
      </c>
      <c r="Q195" s="2">
        <v>0.28360000000000002</v>
      </c>
      <c r="R195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196" spans="1:18" ht="14.25" x14ac:dyDescent="0.2">
      <c r="A196">
        <v>195</v>
      </c>
      <c r="B196" s="5">
        <v>40552</v>
      </c>
      <c r="C196">
        <v>1</v>
      </c>
      <c r="D196">
        <v>9</v>
      </c>
      <c r="E196" t="b">
        <v>0</v>
      </c>
      <c r="F196">
        <v>0</v>
      </c>
      <c r="G196">
        <v>1</v>
      </c>
      <c r="H196">
        <v>0.12</v>
      </c>
      <c r="I196" t="s">
        <v>5</v>
      </c>
      <c r="J196" t="s">
        <v>19</v>
      </c>
      <c r="K196" t="s">
        <v>20</v>
      </c>
      <c r="L196">
        <v>0.46</v>
      </c>
      <c r="M196">
        <v>0</v>
      </c>
      <c r="N196">
        <v>19</v>
      </c>
      <c r="O196">
        <v>19</v>
      </c>
      <c r="P196" s="2">
        <v>7.5800000000000006E-2</v>
      </c>
      <c r="Q196" s="2">
        <v>0.52239999999999998</v>
      </c>
      <c r="R196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197" spans="1:18" ht="14.25" x14ac:dyDescent="0.2">
      <c r="A197">
        <v>196</v>
      </c>
      <c r="B197" s="5">
        <v>40552</v>
      </c>
      <c r="C197">
        <v>1</v>
      </c>
      <c r="D197">
        <v>10</v>
      </c>
      <c r="E197" t="b">
        <v>0</v>
      </c>
      <c r="F197">
        <v>0</v>
      </c>
      <c r="G197">
        <v>1</v>
      </c>
      <c r="H197">
        <v>0.14000000000000001</v>
      </c>
      <c r="I197" t="s">
        <v>5</v>
      </c>
      <c r="J197" t="s">
        <v>19</v>
      </c>
      <c r="K197" t="s">
        <v>20</v>
      </c>
      <c r="L197">
        <v>0.43</v>
      </c>
      <c r="M197">
        <v>0</v>
      </c>
      <c r="N197">
        <v>49</v>
      </c>
      <c r="O197">
        <v>49</v>
      </c>
      <c r="P197" s="2">
        <v>0.1061</v>
      </c>
      <c r="Q197" s="2">
        <v>0.3881</v>
      </c>
      <c r="R197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198" spans="1:18" ht="14.25" x14ac:dyDescent="0.2">
      <c r="A198">
        <v>197</v>
      </c>
      <c r="B198" s="5">
        <v>40552</v>
      </c>
      <c r="C198">
        <v>1</v>
      </c>
      <c r="D198">
        <v>11</v>
      </c>
      <c r="E198" t="b">
        <v>0</v>
      </c>
      <c r="F198">
        <v>0</v>
      </c>
      <c r="G198">
        <v>1</v>
      </c>
      <c r="H198">
        <v>0.16</v>
      </c>
      <c r="I198" t="s">
        <v>5</v>
      </c>
      <c r="J198" t="s">
        <v>19</v>
      </c>
      <c r="K198" t="s">
        <v>20</v>
      </c>
      <c r="L198">
        <v>0.4</v>
      </c>
      <c r="M198">
        <v>2</v>
      </c>
      <c r="N198">
        <v>47</v>
      </c>
      <c r="O198">
        <v>49</v>
      </c>
      <c r="P198" s="2">
        <v>0.1212</v>
      </c>
      <c r="Q198" s="2">
        <v>0.52239999999999998</v>
      </c>
      <c r="R198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199" spans="1:18" ht="14.25" x14ac:dyDescent="0.2">
      <c r="A199">
        <v>198</v>
      </c>
      <c r="B199" s="5">
        <v>40552</v>
      </c>
      <c r="C199">
        <v>1</v>
      </c>
      <c r="D199">
        <v>12</v>
      </c>
      <c r="E199" t="b">
        <v>0</v>
      </c>
      <c r="F199">
        <v>0</v>
      </c>
      <c r="G199">
        <v>1</v>
      </c>
      <c r="H199">
        <v>0.18</v>
      </c>
      <c r="I199" t="s">
        <v>5</v>
      </c>
      <c r="J199" t="s">
        <v>19</v>
      </c>
      <c r="K199" t="s">
        <v>22</v>
      </c>
      <c r="L199">
        <v>0.37</v>
      </c>
      <c r="M199">
        <v>4</v>
      </c>
      <c r="N199">
        <v>79</v>
      </c>
      <c r="O199">
        <v>83</v>
      </c>
      <c r="P199" s="2">
        <v>0.13639999999999999</v>
      </c>
      <c r="Q199" s="2">
        <v>0.44779999999999998</v>
      </c>
      <c r="R199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200" spans="1:18" ht="14.25" x14ac:dyDescent="0.2">
      <c r="A200">
        <v>199</v>
      </c>
      <c r="B200" s="5">
        <v>40552</v>
      </c>
      <c r="C200">
        <v>1</v>
      </c>
      <c r="D200">
        <v>13</v>
      </c>
      <c r="E200" t="b">
        <v>0</v>
      </c>
      <c r="F200">
        <v>0</v>
      </c>
      <c r="G200">
        <v>1</v>
      </c>
      <c r="H200">
        <v>0.2</v>
      </c>
      <c r="I200" t="s">
        <v>5</v>
      </c>
      <c r="J200" t="s">
        <v>19</v>
      </c>
      <c r="K200" t="s">
        <v>22</v>
      </c>
      <c r="L200">
        <v>0.34</v>
      </c>
      <c r="M200">
        <v>6</v>
      </c>
      <c r="N200">
        <v>69</v>
      </c>
      <c r="O200">
        <v>75</v>
      </c>
      <c r="P200" s="2">
        <v>0.16669999999999999</v>
      </c>
      <c r="Q200" s="2">
        <v>0.44779999999999998</v>
      </c>
      <c r="R200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201" spans="1:18" ht="14.25" x14ac:dyDescent="0.2">
      <c r="A201">
        <v>200</v>
      </c>
      <c r="B201" s="5">
        <v>40552</v>
      </c>
      <c r="C201">
        <v>1</v>
      </c>
      <c r="D201">
        <v>14</v>
      </c>
      <c r="E201" t="b">
        <v>0</v>
      </c>
      <c r="F201">
        <v>0</v>
      </c>
      <c r="G201">
        <v>1</v>
      </c>
      <c r="H201">
        <v>0.22</v>
      </c>
      <c r="I201" t="s">
        <v>5</v>
      </c>
      <c r="J201" t="s">
        <v>19</v>
      </c>
      <c r="K201" t="s">
        <v>22</v>
      </c>
      <c r="L201">
        <v>0.32</v>
      </c>
      <c r="M201">
        <v>8</v>
      </c>
      <c r="N201">
        <v>64</v>
      </c>
      <c r="O201">
        <v>72</v>
      </c>
      <c r="P201" s="2">
        <v>0.18179999999999999</v>
      </c>
      <c r="Q201" s="2">
        <v>0.4627</v>
      </c>
      <c r="R201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202" spans="1:18" ht="14.25" x14ac:dyDescent="0.2">
      <c r="A202">
        <v>201</v>
      </c>
      <c r="B202" s="5">
        <v>40552</v>
      </c>
      <c r="C202">
        <v>1</v>
      </c>
      <c r="D202">
        <v>15</v>
      </c>
      <c r="E202" t="b">
        <v>0</v>
      </c>
      <c r="F202">
        <v>0</v>
      </c>
      <c r="G202">
        <v>1</v>
      </c>
      <c r="H202">
        <v>0.22</v>
      </c>
      <c r="I202" t="s">
        <v>5</v>
      </c>
      <c r="J202" t="s">
        <v>19</v>
      </c>
      <c r="K202" t="s">
        <v>22</v>
      </c>
      <c r="L202">
        <v>0.35</v>
      </c>
      <c r="M202">
        <v>5</v>
      </c>
      <c r="N202">
        <v>77</v>
      </c>
      <c r="O202">
        <v>82</v>
      </c>
      <c r="P202" s="2">
        <v>0.19700000000000001</v>
      </c>
      <c r="Q202" s="2">
        <v>0.35820000000000002</v>
      </c>
      <c r="R202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203" spans="1:18" ht="14.25" x14ac:dyDescent="0.2">
      <c r="A203">
        <v>202</v>
      </c>
      <c r="B203" s="5">
        <v>40552</v>
      </c>
      <c r="C203">
        <v>1</v>
      </c>
      <c r="D203">
        <v>16</v>
      </c>
      <c r="E203" t="b">
        <v>0</v>
      </c>
      <c r="F203">
        <v>0</v>
      </c>
      <c r="G203">
        <v>1</v>
      </c>
      <c r="H203">
        <v>0.2</v>
      </c>
      <c r="I203" t="s">
        <v>5</v>
      </c>
      <c r="J203" t="s">
        <v>19</v>
      </c>
      <c r="K203" t="s">
        <v>22</v>
      </c>
      <c r="L203">
        <v>0.34</v>
      </c>
      <c r="M203">
        <v>13</v>
      </c>
      <c r="N203">
        <v>79</v>
      </c>
      <c r="O203">
        <v>92</v>
      </c>
      <c r="P203" s="2">
        <v>0.16669999999999999</v>
      </c>
      <c r="Q203" s="2">
        <v>0.44779999999999998</v>
      </c>
      <c r="R203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204" spans="1:18" ht="14.25" x14ac:dyDescent="0.2">
      <c r="A204">
        <v>203</v>
      </c>
      <c r="B204" s="5">
        <v>40552</v>
      </c>
      <c r="C204">
        <v>1</v>
      </c>
      <c r="D204">
        <v>17</v>
      </c>
      <c r="E204" t="b">
        <v>0</v>
      </c>
      <c r="F204">
        <v>0</v>
      </c>
      <c r="G204">
        <v>1</v>
      </c>
      <c r="H204">
        <v>0.18</v>
      </c>
      <c r="I204" t="s">
        <v>5</v>
      </c>
      <c r="J204" t="s">
        <v>19</v>
      </c>
      <c r="K204" t="s">
        <v>23</v>
      </c>
      <c r="L204">
        <v>0.37</v>
      </c>
      <c r="M204">
        <v>3</v>
      </c>
      <c r="N204">
        <v>59</v>
      </c>
      <c r="O204">
        <v>62</v>
      </c>
      <c r="P204" s="2">
        <v>0.1515</v>
      </c>
      <c r="Q204" s="2">
        <v>0.3881</v>
      </c>
      <c r="R204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205" spans="1:18" ht="14.25" x14ac:dyDescent="0.2">
      <c r="A205">
        <v>204</v>
      </c>
      <c r="B205" s="5">
        <v>40552</v>
      </c>
      <c r="C205">
        <v>1</v>
      </c>
      <c r="D205">
        <v>18</v>
      </c>
      <c r="E205" t="b">
        <v>0</v>
      </c>
      <c r="F205">
        <v>0</v>
      </c>
      <c r="G205">
        <v>1</v>
      </c>
      <c r="H205">
        <v>0.16</v>
      </c>
      <c r="I205" t="s">
        <v>5</v>
      </c>
      <c r="J205" t="s">
        <v>19</v>
      </c>
      <c r="K205" t="s">
        <v>23</v>
      </c>
      <c r="L205">
        <v>0.4</v>
      </c>
      <c r="M205">
        <v>4</v>
      </c>
      <c r="N205">
        <v>44</v>
      </c>
      <c r="O205">
        <v>48</v>
      </c>
      <c r="P205" s="2">
        <v>0.13639999999999999</v>
      </c>
      <c r="Q205" s="2">
        <v>0.32840000000000003</v>
      </c>
      <c r="R205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206" spans="1:18" ht="14.25" x14ac:dyDescent="0.2">
      <c r="A206">
        <v>205</v>
      </c>
      <c r="B206" s="5">
        <v>40552</v>
      </c>
      <c r="C206">
        <v>1</v>
      </c>
      <c r="D206">
        <v>19</v>
      </c>
      <c r="E206" t="b">
        <v>0</v>
      </c>
      <c r="F206">
        <v>0</v>
      </c>
      <c r="G206">
        <v>1</v>
      </c>
      <c r="H206">
        <v>0.16</v>
      </c>
      <c r="I206" t="s">
        <v>5</v>
      </c>
      <c r="J206" t="s">
        <v>19</v>
      </c>
      <c r="K206" t="s">
        <v>23</v>
      </c>
      <c r="L206">
        <v>0.43</v>
      </c>
      <c r="M206">
        <v>1</v>
      </c>
      <c r="N206">
        <v>40</v>
      </c>
      <c r="O206">
        <v>41</v>
      </c>
      <c r="P206" s="2">
        <v>0.13639999999999999</v>
      </c>
      <c r="Q206" s="2">
        <v>0.32840000000000003</v>
      </c>
      <c r="R206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207" spans="1:18" ht="14.25" x14ac:dyDescent="0.2">
      <c r="A207">
        <v>206</v>
      </c>
      <c r="B207" s="5">
        <v>40552</v>
      </c>
      <c r="C207">
        <v>1</v>
      </c>
      <c r="D207">
        <v>20</v>
      </c>
      <c r="E207" t="b">
        <v>0</v>
      </c>
      <c r="F207">
        <v>0</v>
      </c>
      <c r="G207">
        <v>1</v>
      </c>
      <c r="H207">
        <v>0.14000000000000001</v>
      </c>
      <c r="I207" t="s">
        <v>5</v>
      </c>
      <c r="J207" t="s">
        <v>19</v>
      </c>
      <c r="K207" t="s">
        <v>23</v>
      </c>
      <c r="L207">
        <v>0.46</v>
      </c>
      <c r="M207">
        <v>0</v>
      </c>
      <c r="N207">
        <v>38</v>
      </c>
      <c r="O207">
        <v>38</v>
      </c>
      <c r="P207" s="2">
        <v>0.1212</v>
      </c>
      <c r="Q207" s="2">
        <v>0.25369999999999998</v>
      </c>
      <c r="R207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208" spans="1:18" ht="14.25" x14ac:dyDescent="0.2">
      <c r="A208">
        <v>207</v>
      </c>
      <c r="B208" s="5">
        <v>40552</v>
      </c>
      <c r="C208">
        <v>1</v>
      </c>
      <c r="D208">
        <v>21</v>
      </c>
      <c r="E208" t="b">
        <v>0</v>
      </c>
      <c r="F208">
        <v>0</v>
      </c>
      <c r="G208">
        <v>1</v>
      </c>
      <c r="H208">
        <v>0.14000000000000001</v>
      </c>
      <c r="I208" t="s">
        <v>5</v>
      </c>
      <c r="J208" t="s">
        <v>19</v>
      </c>
      <c r="K208" t="s">
        <v>25</v>
      </c>
      <c r="L208">
        <v>0.46</v>
      </c>
      <c r="M208">
        <v>1</v>
      </c>
      <c r="N208">
        <v>19</v>
      </c>
      <c r="O208">
        <v>20</v>
      </c>
      <c r="P208" s="2">
        <v>0.1061</v>
      </c>
      <c r="Q208" s="2">
        <v>0.41789999999999999</v>
      </c>
      <c r="R208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209" spans="1:18" ht="14.25" x14ac:dyDescent="0.2">
      <c r="A209">
        <v>208</v>
      </c>
      <c r="B209" s="5">
        <v>40552</v>
      </c>
      <c r="C209">
        <v>1</v>
      </c>
      <c r="D209">
        <v>22</v>
      </c>
      <c r="E209" t="b">
        <v>0</v>
      </c>
      <c r="F209">
        <v>0</v>
      </c>
      <c r="G209">
        <v>1</v>
      </c>
      <c r="H209">
        <v>0.14000000000000001</v>
      </c>
      <c r="I209" t="s">
        <v>5</v>
      </c>
      <c r="J209" t="s">
        <v>19</v>
      </c>
      <c r="K209" t="s">
        <v>25</v>
      </c>
      <c r="L209">
        <v>0.46</v>
      </c>
      <c r="M209">
        <v>5</v>
      </c>
      <c r="N209">
        <v>10</v>
      </c>
      <c r="O209">
        <v>15</v>
      </c>
      <c r="P209" s="2">
        <v>0.1212</v>
      </c>
      <c r="Q209" s="2">
        <v>0.29849999999999999</v>
      </c>
      <c r="R209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210" spans="1:18" ht="14.25" x14ac:dyDescent="0.2">
      <c r="A210">
        <v>209</v>
      </c>
      <c r="B210" s="5">
        <v>40552</v>
      </c>
      <c r="C210">
        <v>1</v>
      </c>
      <c r="D210">
        <v>23</v>
      </c>
      <c r="E210" t="b">
        <v>0</v>
      </c>
      <c r="F210">
        <v>0</v>
      </c>
      <c r="G210">
        <v>1</v>
      </c>
      <c r="H210">
        <v>0.12</v>
      </c>
      <c r="I210" t="s">
        <v>5</v>
      </c>
      <c r="J210" t="s">
        <v>19</v>
      </c>
      <c r="K210" t="s">
        <v>25</v>
      </c>
      <c r="L210">
        <v>0.5</v>
      </c>
      <c r="M210">
        <v>0</v>
      </c>
      <c r="N210">
        <v>6</v>
      </c>
      <c r="O210">
        <v>6</v>
      </c>
      <c r="P210" s="2">
        <v>0.13639999999999999</v>
      </c>
      <c r="Q210" s="2">
        <v>0.19400000000000001</v>
      </c>
      <c r="R210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211" spans="1:18" ht="14.25" x14ac:dyDescent="0.2">
      <c r="A211">
        <v>210</v>
      </c>
      <c r="B211" s="5">
        <v>40553</v>
      </c>
      <c r="C211">
        <v>1</v>
      </c>
      <c r="D211">
        <v>0</v>
      </c>
      <c r="E211" t="b">
        <v>0</v>
      </c>
      <c r="F211">
        <v>1</v>
      </c>
      <c r="G211">
        <v>1</v>
      </c>
      <c r="H211">
        <v>0.12</v>
      </c>
      <c r="I211" t="s">
        <v>5</v>
      </c>
      <c r="J211" t="s">
        <v>19</v>
      </c>
      <c r="K211" t="s">
        <v>20</v>
      </c>
      <c r="L211">
        <v>0.5</v>
      </c>
      <c r="M211">
        <v>2</v>
      </c>
      <c r="N211">
        <v>3</v>
      </c>
      <c r="O211">
        <v>5</v>
      </c>
      <c r="P211" s="2">
        <v>0.1212</v>
      </c>
      <c r="Q211" s="2">
        <v>0.28360000000000002</v>
      </c>
      <c r="R211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212" spans="1:18" ht="14.25" x14ac:dyDescent="0.2">
      <c r="A212">
        <v>211</v>
      </c>
      <c r="B212" s="5">
        <v>40553</v>
      </c>
      <c r="C212">
        <v>1</v>
      </c>
      <c r="D212">
        <v>1</v>
      </c>
      <c r="E212" t="b">
        <v>0</v>
      </c>
      <c r="F212">
        <v>1</v>
      </c>
      <c r="G212">
        <v>1</v>
      </c>
      <c r="H212">
        <v>0.12</v>
      </c>
      <c r="I212" t="s">
        <v>5</v>
      </c>
      <c r="J212" t="s">
        <v>19</v>
      </c>
      <c r="K212" t="s">
        <v>20</v>
      </c>
      <c r="L212">
        <v>0.5</v>
      </c>
      <c r="M212">
        <v>1</v>
      </c>
      <c r="N212">
        <v>0</v>
      </c>
      <c r="O212">
        <v>1</v>
      </c>
      <c r="P212" s="2">
        <v>0.1212</v>
      </c>
      <c r="Q212" s="2">
        <v>0.28360000000000002</v>
      </c>
      <c r="R212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213" spans="1:18" ht="14.25" x14ac:dyDescent="0.2">
      <c r="A213">
        <v>212</v>
      </c>
      <c r="B213" s="5">
        <v>40553</v>
      </c>
      <c r="C213">
        <v>1</v>
      </c>
      <c r="D213">
        <v>2</v>
      </c>
      <c r="E213" t="b">
        <v>0</v>
      </c>
      <c r="F213">
        <v>1</v>
      </c>
      <c r="G213">
        <v>1</v>
      </c>
      <c r="H213">
        <v>0.12</v>
      </c>
      <c r="I213" t="s">
        <v>5</v>
      </c>
      <c r="J213" t="s">
        <v>19</v>
      </c>
      <c r="K213" t="s">
        <v>20</v>
      </c>
      <c r="L213">
        <v>0.5</v>
      </c>
      <c r="M213">
        <v>0</v>
      </c>
      <c r="N213">
        <v>3</v>
      </c>
      <c r="O213">
        <v>3</v>
      </c>
      <c r="P213" s="2">
        <v>0.1212</v>
      </c>
      <c r="Q213" s="2">
        <v>0.22389999999999999</v>
      </c>
      <c r="R213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214" spans="1:18" ht="14.25" x14ac:dyDescent="0.2">
      <c r="A214">
        <v>213</v>
      </c>
      <c r="B214" s="5">
        <v>40553</v>
      </c>
      <c r="C214">
        <v>1</v>
      </c>
      <c r="D214">
        <v>3</v>
      </c>
      <c r="E214" t="b">
        <v>0</v>
      </c>
      <c r="F214">
        <v>1</v>
      </c>
      <c r="G214">
        <v>1</v>
      </c>
      <c r="H214">
        <v>0.12</v>
      </c>
      <c r="I214" t="s">
        <v>5</v>
      </c>
      <c r="J214" t="s">
        <v>19</v>
      </c>
      <c r="K214" t="s">
        <v>20</v>
      </c>
      <c r="L214">
        <v>0.5</v>
      </c>
      <c r="M214">
        <v>0</v>
      </c>
      <c r="N214">
        <v>1</v>
      </c>
      <c r="O214">
        <v>1</v>
      </c>
      <c r="P214" s="2">
        <v>0.1212</v>
      </c>
      <c r="Q214" s="2">
        <v>0.22389999999999999</v>
      </c>
      <c r="R214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215" spans="1:18" ht="14.25" x14ac:dyDescent="0.2">
      <c r="A215">
        <v>214</v>
      </c>
      <c r="B215" s="5">
        <v>40553</v>
      </c>
      <c r="C215">
        <v>1</v>
      </c>
      <c r="D215">
        <v>4</v>
      </c>
      <c r="E215" t="b">
        <v>0</v>
      </c>
      <c r="F215">
        <v>1</v>
      </c>
      <c r="G215">
        <v>1</v>
      </c>
      <c r="H215">
        <v>0.1</v>
      </c>
      <c r="I215" t="s">
        <v>5</v>
      </c>
      <c r="J215" t="s">
        <v>19</v>
      </c>
      <c r="K215" t="s">
        <v>20</v>
      </c>
      <c r="L215">
        <v>0.54</v>
      </c>
      <c r="M215">
        <v>1</v>
      </c>
      <c r="N215">
        <v>2</v>
      </c>
      <c r="O215">
        <v>3</v>
      </c>
      <c r="P215" s="2">
        <v>0.1212</v>
      </c>
      <c r="Q215" s="2">
        <v>0.1343</v>
      </c>
      <c r="R215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216" spans="1:18" ht="14.25" x14ac:dyDescent="0.2">
      <c r="A216">
        <v>215</v>
      </c>
      <c r="B216" s="5">
        <v>40553</v>
      </c>
      <c r="C216">
        <v>1</v>
      </c>
      <c r="D216">
        <v>5</v>
      </c>
      <c r="E216" t="b">
        <v>0</v>
      </c>
      <c r="F216">
        <v>1</v>
      </c>
      <c r="G216">
        <v>1</v>
      </c>
      <c r="H216">
        <v>0.1</v>
      </c>
      <c r="I216" t="s">
        <v>5</v>
      </c>
      <c r="J216" t="s">
        <v>19</v>
      </c>
      <c r="K216" t="s">
        <v>20</v>
      </c>
      <c r="L216">
        <v>0.54</v>
      </c>
      <c r="M216">
        <v>0</v>
      </c>
      <c r="N216">
        <v>3</v>
      </c>
      <c r="O216">
        <v>3</v>
      </c>
      <c r="P216" s="2">
        <v>0.1061</v>
      </c>
      <c r="Q216" s="2">
        <v>0.25369999999999998</v>
      </c>
      <c r="R216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217" spans="1:18" ht="14.25" x14ac:dyDescent="0.2">
      <c r="A217">
        <v>216</v>
      </c>
      <c r="B217" s="5">
        <v>40553</v>
      </c>
      <c r="C217">
        <v>1</v>
      </c>
      <c r="D217">
        <v>6</v>
      </c>
      <c r="E217" t="b">
        <v>0</v>
      </c>
      <c r="F217">
        <v>1</v>
      </c>
      <c r="G217">
        <v>1</v>
      </c>
      <c r="H217">
        <v>0.12</v>
      </c>
      <c r="I217" t="s">
        <v>5</v>
      </c>
      <c r="J217" t="s">
        <v>19</v>
      </c>
      <c r="K217" t="s">
        <v>20</v>
      </c>
      <c r="L217">
        <v>0.5</v>
      </c>
      <c r="M217">
        <v>0</v>
      </c>
      <c r="N217">
        <v>31</v>
      </c>
      <c r="O217">
        <v>31</v>
      </c>
      <c r="P217" s="2">
        <v>0.1212</v>
      </c>
      <c r="Q217" s="2">
        <v>0.28360000000000002</v>
      </c>
      <c r="R217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218" spans="1:18" ht="14.25" x14ac:dyDescent="0.2">
      <c r="A218">
        <v>217</v>
      </c>
      <c r="B218" s="5">
        <v>40553</v>
      </c>
      <c r="C218">
        <v>1</v>
      </c>
      <c r="D218">
        <v>7</v>
      </c>
      <c r="E218" t="b">
        <v>0</v>
      </c>
      <c r="F218">
        <v>1</v>
      </c>
      <c r="G218">
        <v>1</v>
      </c>
      <c r="H218">
        <v>0.12</v>
      </c>
      <c r="I218" t="s">
        <v>5</v>
      </c>
      <c r="J218" t="s">
        <v>19</v>
      </c>
      <c r="K218" t="s">
        <v>20</v>
      </c>
      <c r="L218">
        <v>0.5</v>
      </c>
      <c r="M218">
        <v>2</v>
      </c>
      <c r="N218">
        <v>75</v>
      </c>
      <c r="O218">
        <v>77</v>
      </c>
      <c r="P218" s="2">
        <v>0.1212</v>
      </c>
      <c r="Q218" s="2">
        <v>0.22389999999999999</v>
      </c>
      <c r="R218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219" spans="1:18" ht="14.25" x14ac:dyDescent="0.2">
      <c r="A219">
        <v>218</v>
      </c>
      <c r="B219" s="5">
        <v>40553</v>
      </c>
      <c r="C219">
        <v>1</v>
      </c>
      <c r="D219">
        <v>8</v>
      </c>
      <c r="E219" t="b">
        <v>0</v>
      </c>
      <c r="F219">
        <v>1</v>
      </c>
      <c r="G219">
        <v>2</v>
      </c>
      <c r="H219">
        <v>0.12</v>
      </c>
      <c r="I219" t="s">
        <v>5</v>
      </c>
      <c r="J219" t="s">
        <v>21</v>
      </c>
      <c r="K219" t="s">
        <v>20</v>
      </c>
      <c r="L219">
        <v>0.5</v>
      </c>
      <c r="M219">
        <v>4</v>
      </c>
      <c r="N219">
        <v>184</v>
      </c>
      <c r="O219">
        <v>188</v>
      </c>
      <c r="P219" s="2">
        <v>0.1212</v>
      </c>
      <c r="Q219" s="2">
        <v>0.28360000000000002</v>
      </c>
      <c r="R219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220" spans="1:18" ht="14.25" x14ac:dyDescent="0.2">
      <c r="A220">
        <v>219</v>
      </c>
      <c r="B220" s="5">
        <v>40553</v>
      </c>
      <c r="C220">
        <v>1</v>
      </c>
      <c r="D220">
        <v>9</v>
      </c>
      <c r="E220" t="b">
        <v>0</v>
      </c>
      <c r="F220">
        <v>1</v>
      </c>
      <c r="G220">
        <v>2</v>
      </c>
      <c r="H220">
        <v>0.14000000000000001</v>
      </c>
      <c r="I220" t="s">
        <v>5</v>
      </c>
      <c r="J220" t="s">
        <v>21</v>
      </c>
      <c r="K220" t="s">
        <v>20</v>
      </c>
      <c r="L220">
        <v>0.5</v>
      </c>
      <c r="M220">
        <v>2</v>
      </c>
      <c r="N220">
        <v>92</v>
      </c>
      <c r="O220">
        <v>94</v>
      </c>
      <c r="P220" s="2">
        <v>0.1212</v>
      </c>
      <c r="Q220" s="2">
        <v>0.25369999999999998</v>
      </c>
      <c r="R220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221" spans="1:18" ht="14.25" x14ac:dyDescent="0.2">
      <c r="A221">
        <v>220</v>
      </c>
      <c r="B221" s="5">
        <v>40553</v>
      </c>
      <c r="C221">
        <v>1</v>
      </c>
      <c r="D221">
        <v>10</v>
      </c>
      <c r="E221" t="b">
        <v>0</v>
      </c>
      <c r="F221">
        <v>1</v>
      </c>
      <c r="G221">
        <v>2</v>
      </c>
      <c r="H221">
        <v>0.14000000000000001</v>
      </c>
      <c r="I221" t="s">
        <v>5</v>
      </c>
      <c r="J221" t="s">
        <v>21</v>
      </c>
      <c r="K221" t="s">
        <v>20</v>
      </c>
      <c r="L221">
        <v>0.5</v>
      </c>
      <c r="M221">
        <v>0</v>
      </c>
      <c r="N221">
        <v>31</v>
      </c>
      <c r="O221">
        <v>31</v>
      </c>
      <c r="P221" s="2">
        <v>0.1212</v>
      </c>
      <c r="Q221" s="2">
        <v>0.29849999999999999</v>
      </c>
      <c r="R221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222" spans="1:18" ht="14.25" x14ac:dyDescent="0.2">
      <c r="A222">
        <v>221</v>
      </c>
      <c r="B222" s="5">
        <v>40553</v>
      </c>
      <c r="C222">
        <v>1</v>
      </c>
      <c r="D222">
        <v>11</v>
      </c>
      <c r="E222" t="b">
        <v>0</v>
      </c>
      <c r="F222">
        <v>1</v>
      </c>
      <c r="G222">
        <v>2</v>
      </c>
      <c r="H222">
        <v>0.16</v>
      </c>
      <c r="I222" t="s">
        <v>5</v>
      </c>
      <c r="J222" t="s">
        <v>21</v>
      </c>
      <c r="K222" t="s">
        <v>20</v>
      </c>
      <c r="L222">
        <v>0.47</v>
      </c>
      <c r="M222">
        <v>2</v>
      </c>
      <c r="N222">
        <v>28</v>
      </c>
      <c r="O222">
        <v>30</v>
      </c>
      <c r="P222" s="2">
        <v>0.13639999999999999</v>
      </c>
      <c r="Q222" s="2">
        <v>0.28360000000000002</v>
      </c>
      <c r="R222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223" spans="1:18" ht="14.25" x14ac:dyDescent="0.2">
      <c r="A223">
        <v>222</v>
      </c>
      <c r="B223" s="5">
        <v>40553</v>
      </c>
      <c r="C223">
        <v>1</v>
      </c>
      <c r="D223">
        <v>12</v>
      </c>
      <c r="E223" t="b">
        <v>0</v>
      </c>
      <c r="F223">
        <v>1</v>
      </c>
      <c r="G223">
        <v>2</v>
      </c>
      <c r="H223">
        <v>0.2</v>
      </c>
      <c r="I223" t="s">
        <v>5</v>
      </c>
      <c r="J223" t="s">
        <v>21</v>
      </c>
      <c r="K223" t="s">
        <v>22</v>
      </c>
      <c r="L223">
        <v>0.4</v>
      </c>
      <c r="M223">
        <v>5</v>
      </c>
      <c r="N223">
        <v>47</v>
      </c>
      <c r="O223">
        <v>52</v>
      </c>
      <c r="P223" s="2">
        <v>0.18179999999999999</v>
      </c>
      <c r="Q223" s="2">
        <v>0.28360000000000002</v>
      </c>
      <c r="R223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224" spans="1:18" ht="14.25" x14ac:dyDescent="0.2">
      <c r="A224">
        <v>223</v>
      </c>
      <c r="B224" s="5">
        <v>40553</v>
      </c>
      <c r="C224">
        <v>1</v>
      </c>
      <c r="D224">
        <v>13</v>
      </c>
      <c r="E224" t="b">
        <v>0</v>
      </c>
      <c r="F224">
        <v>1</v>
      </c>
      <c r="G224">
        <v>2</v>
      </c>
      <c r="H224">
        <v>0.2</v>
      </c>
      <c r="I224" t="s">
        <v>5</v>
      </c>
      <c r="J224" t="s">
        <v>21</v>
      </c>
      <c r="K224" t="s">
        <v>22</v>
      </c>
      <c r="L224">
        <v>0.4</v>
      </c>
      <c r="M224">
        <v>4</v>
      </c>
      <c r="N224">
        <v>50</v>
      </c>
      <c r="O224">
        <v>54</v>
      </c>
      <c r="P224" s="2">
        <v>0.18179999999999999</v>
      </c>
      <c r="Q224" s="2">
        <v>0.28360000000000002</v>
      </c>
      <c r="R224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225" spans="1:18" ht="14.25" x14ac:dyDescent="0.2">
      <c r="A225">
        <v>224</v>
      </c>
      <c r="B225" s="5">
        <v>40553</v>
      </c>
      <c r="C225">
        <v>1</v>
      </c>
      <c r="D225">
        <v>14</v>
      </c>
      <c r="E225" t="b">
        <v>0</v>
      </c>
      <c r="F225">
        <v>1</v>
      </c>
      <c r="G225">
        <v>2</v>
      </c>
      <c r="H225">
        <v>0.2</v>
      </c>
      <c r="I225" t="s">
        <v>5</v>
      </c>
      <c r="J225" t="s">
        <v>21</v>
      </c>
      <c r="K225" t="s">
        <v>22</v>
      </c>
      <c r="L225">
        <v>0.4</v>
      </c>
      <c r="M225">
        <v>0</v>
      </c>
      <c r="N225">
        <v>47</v>
      </c>
      <c r="O225">
        <v>47</v>
      </c>
      <c r="P225" s="2">
        <v>0.19700000000000001</v>
      </c>
      <c r="Q225" s="2">
        <v>0.22389999999999999</v>
      </c>
      <c r="R225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226" spans="1:18" ht="14.25" x14ac:dyDescent="0.2">
      <c r="A226">
        <v>225</v>
      </c>
      <c r="B226" s="5">
        <v>40553</v>
      </c>
      <c r="C226">
        <v>1</v>
      </c>
      <c r="D226">
        <v>15</v>
      </c>
      <c r="E226" t="b">
        <v>0</v>
      </c>
      <c r="F226">
        <v>1</v>
      </c>
      <c r="G226">
        <v>2</v>
      </c>
      <c r="H226">
        <v>0.2</v>
      </c>
      <c r="I226" t="s">
        <v>5</v>
      </c>
      <c r="J226" t="s">
        <v>21</v>
      </c>
      <c r="K226" t="s">
        <v>22</v>
      </c>
      <c r="L226">
        <v>0.4</v>
      </c>
      <c r="M226">
        <v>2</v>
      </c>
      <c r="N226">
        <v>43</v>
      </c>
      <c r="O226">
        <v>45</v>
      </c>
      <c r="P226" s="2">
        <v>0.19700000000000001</v>
      </c>
      <c r="Q226" s="2">
        <v>0.22389999999999999</v>
      </c>
      <c r="R226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227" spans="1:18" ht="14.25" x14ac:dyDescent="0.2">
      <c r="A227">
        <v>226</v>
      </c>
      <c r="B227" s="5">
        <v>40553</v>
      </c>
      <c r="C227">
        <v>1</v>
      </c>
      <c r="D227">
        <v>16</v>
      </c>
      <c r="E227" t="b">
        <v>0</v>
      </c>
      <c r="F227">
        <v>1</v>
      </c>
      <c r="G227">
        <v>1</v>
      </c>
      <c r="H227">
        <v>0.2</v>
      </c>
      <c r="I227" t="s">
        <v>5</v>
      </c>
      <c r="J227" t="s">
        <v>19</v>
      </c>
      <c r="K227" t="s">
        <v>22</v>
      </c>
      <c r="L227">
        <v>0.4</v>
      </c>
      <c r="M227">
        <v>4</v>
      </c>
      <c r="N227">
        <v>70</v>
      </c>
      <c r="O227">
        <v>74</v>
      </c>
      <c r="P227" s="2">
        <v>0.21210000000000001</v>
      </c>
      <c r="Q227" s="2">
        <v>0.1343</v>
      </c>
      <c r="R227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228" spans="1:18" ht="14.25" x14ac:dyDescent="0.2">
      <c r="A228">
        <v>227</v>
      </c>
      <c r="B228" s="5">
        <v>40553</v>
      </c>
      <c r="C228">
        <v>1</v>
      </c>
      <c r="D228">
        <v>17</v>
      </c>
      <c r="E228" t="b">
        <v>0</v>
      </c>
      <c r="F228">
        <v>1</v>
      </c>
      <c r="G228">
        <v>1</v>
      </c>
      <c r="H228">
        <v>0.2</v>
      </c>
      <c r="I228" t="s">
        <v>5</v>
      </c>
      <c r="J228" t="s">
        <v>19</v>
      </c>
      <c r="K228" t="s">
        <v>23</v>
      </c>
      <c r="L228">
        <v>0.4</v>
      </c>
      <c r="M228">
        <v>4</v>
      </c>
      <c r="N228">
        <v>174</v>
      </c>
      <c r="O228">
        <v>178</v>
      </c>
      <c r="P228" s="2">
        <v>0.2273</v>
      </c>
      <c r="Q228" s="2">
        <v>0.1045</v>
      </c>
      <c r="R228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229" spans="1:18" ht="14.25" x14ac:dyDescent="0.2">
      <c r="A229">
        <v>228</v>
      </c>
      <c r="B229" s="5">
        <v>40553</v>
      </c>
      <c r="C229">
        <v>1</v>
      </c>
      <c r="D229">
        <v>18</v>
      </c>
      <c r="E229" t="b">
        <v>0</v>
      </c>
      <c r="F229">
        <v>1</v>
      </c>
      <c r="G229">
        <v>1</v>
      </c>
      <c r="H229">
        <v>0.2</v>
      </c>
      <c r="I229" t="s">
        <v>5</v>
      </c>
      <c r="J229" t="s">
        <v>19</v>
      </c>
      <c r="K229" t="s">
        <v>23</v>
      </c>
      <c r="L229">
        <v>0.4</v>
      </c>
      <c r="M229">
        <v>1</v>
      </c>
      <c r="N229">
        <v>154</v>
      </c>
      <c r="O229">
        <v>155</v>
      </c>
      <c r="P229" s="2">
        <v>0.19700000000000001</v>
      </c>
      <c r="Q229" s="2">
        <v>0.22389999999999999</v>
      </c>
      <c r="R229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230" spans="1:18" ht="14.25" x14ac:dyDescent="0.2">
      <c r="A230">
        <v>229</v>
      </c>
      <c r="B230" s="5">
        <v>40553</v>
      </c>
      <c r="C230">
        <v>1</v>
      </c>
      <c r="D230">
        <v>19</v>
      </c>
      <c r="E230" t="b">
        <v>0</v>
      </c>
      <c r="F230">
        <v>1</v>
      </c>
      <c r="G230">
        <v>1</v>
      </c>
      <c r="H230">
        <v>0.16</v>
      </c>
      <c r="I230" t="s">
        <v>5</v>
      </c>
      <c r="J230" t="s">
        <v>19</v>
      </c>
      <c r="K230" t="s">
        <v>23</v>
      </c>
      <c r="L230">
        <v>0.47</v>
      </c>
      <c r="M230">
        <v>3</v>
      </c>
      <c r="N230">
        <v>92</v>
      </c>
      <c r="O230">
        <v>95</v>
      </c>
      <c r="P230" s="2">
        <v>0.16669999999999999</v>
      </c>
      <c r="Q230" s="2">
        <v>0.16420000000000001</v>
      </c>
      <c r="R230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231" spans="1:18" ht="14.25" x14ac:dyDescent="0.2">
      <c r="A231">
        <v>230</v>
      </c>
      <c r="B231" s="5">
        <v>40553</v>
      </c>
      <c r="C231">
        <v>1</v>
      </c>
      <c r="D231">
        <v>20</v>
      </c>
      <c r="E231" t="b">
        <v>0</v>
      </c>
      <c r="F231">
        <v>1</v>
      </c>
      <c r="G231">
        <v>1</v>
      </c>
      <c r="H231">
        <v>0.16</v>
      </c>
      <c r="I231" t="s">
        <v>5</v>
      </c>
      <c r="J231" t="s">
        <v>19</v>
      </c>
      <c r="K231" t="s">
        <v>23</v>
      </c>
      <c r="L231">
        <v>0.5</v>
      </c>
      <c r="M231">
        <v>1</v>
      </c>
      <c r="N231">
        <v>73</v>
      </c>
      <c r="O231">
        <v>74</v>
      </c>
      <c r="P231" s="2">
        <v>0.16669999999999999</v>
      </c>
      <c r="Q231" s="2">
        <v>0.16420000000000001</v>
      </c>
      <c r="R231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232" spans="1:18" ht="14.25" x14ac:dyDescent="0.2">
      <c r="A232">
        <v>231</v>
      </c>
      <c r="B232" s="5">
        <v>40553</v>
      </c>
      <c r="C232">
        <v>1</v>
      </c>
      <c r="D232">
        <v>21</v>
      </c>
      <c r="E232" t="b">
        <v>0</v>
      </c>
      <c r="F232">
        <v>1</v>
      </c>
      <c r="G232">
        <v>1</v>
      </c>
      <c r="H232">
        <v>0.14000000000000001</v>
      </c>
      <c r="I232" t="s">
        <v>5</v>
      </c>
      <c r="J232" t="s">
        <v>19</v>
      </c>
      <c r="K232" t="s">
        <v>25</v>
      </c>
      <c r="L232">
        <v>0.59</v>
      </c>
      <c r="M232">
        <v>1</v>
      </c>
      <c r="N232">
        <v>37</v>
      </c>
      <c r="O232">
        <v>38</v>
      </c>
      <c r="P232" s="2">
        <v>0.13639999999999999</v>
      </c>
      <c r="Q232" s="2">
        <v>0.19400000000000001</v>
      </c>
      <c r="R232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233" spans="1:18" ht="14.25" x14ac:dyDescent="0.2">
      <c r="A233">
        <v>232</v>
      </c>
      <c r="B233" s="5">
        <v>40553</v>
      </c>
      <c r="C233">
        <v>1</v>
      </c>
      <c r="D233">
        <v>22</v>
      </c>
      <c r="E233" t="b">
        <v>0</v>
      </c>
      <c r="F233">
        <v>1</v>
      </c>
      <c r="G233">
        <v>1</v>
      </c>
      <c r="H233">
        <v>0.14000000000000001</v>
      </c>
      <c r="I233" t="s">
        <v>5</v>
      </c>
      <c r="J233" t="s">
        <v>19</v>
      </c>
      <c r="K233" t="s">
        <v>25</v>
      </c>
      <c r="L233">
        <v>0.59</v>
      </c>
      <c r="M233">
        <v>2</v>
      </c>
      <c r="N233">
        <v>22</v>
      </c>
      <c r="O233">
        <v>24</v>
      </c>
      <c r="P233" s="2">
        <v>0.1515</v>
      </c>
      <c r="Q233" s="2">
        <v>0.16420000000000001</v>
      </c>
      <c r="R233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234" spans="1:18" ht="14.25" x14ac:dyDescent="0.2">
      <c r="A234">
        <v>233</v>
      </c>
      <c r="B234" s="5">
        <v>40553</v>
      </c>
      <c r="C234">
        <v>1</v>
      </c>
      <c r="D234">
        <v>23</v>
      </c>
      <c r="E234" t="b">
        <v>0</v>
      </c>
      <c r="F234">
        <v>1</v>
      </c>
      <c r="G234">
        <v>1</v>
      </c>
      <c r="H234">
        <v>0.14000000000000001</v>
      </c>
      <c r="I234" t="s">
        <v>5</v>
      </c>
      <c r="J234" t="s">
        <v>19</v>
      </c>
      <c r="K234" t="s">
        <v>25</v>
      </c>
      <c r="L234">
        <v>0.59</v>
      </c>
      <c r="M234">
        <v>0</v>
      </c>
      <c r="N234">
        <v>18</v>
      </c>
      <c r="O234">
        <v>18</v>
      </c>
      <c r="P234" s="2">
        <v>0.1515</v>
      </c>
      <c r="Q234" s="2">
        <v>0.16420000000000001</v>
      </c>
      <c r="R234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235" spans="1:18" ht="14.25" x14ac:dyDescent="0.2">
      <c r="A235">
        <v>234</v>
      </c>
      <c r="B235" s="5">
        <v>40554</v>
      </c>
      <c r="C235">
        <v>1</v>
      </c>
      <c r="D235">
        <v>0</v>
      </c>
      <c r="E235" t="b">
        <v>0</v>
      </c>
      <c r="F235">
        <v>2</v>
      </c>
      <c r="G235">
        <v>1</v>
      </c>
      <c r="H235">
        <v>0.14000000000000001</v>
      </c>
      <c r="I235" t="s">
        <v>5</v>
      </c>
      <c r="J235" t="s">
        <v>19</v>
      </c>
      <c r="K235" t="s">
        <v>20</v>
      </c>
      <c r="L235">
        <v>0.59</v>
      </c>
      <c r="M235">
        <v>2</v>
      </c>
      <c r="N235">
        <v>10</v>
      </c>
      <c r="O235">
        <v>12</v>
      </c>
      <c r="P235" s="2">
        <v>0.16669999999999999</v>
      </c>
      <c r="Q235" s="2">
        <v>0.1045</v>
      </c>
      <c r="R235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236" spans="1:18" ht="14.25" x14ac:dyDescent="0.2">
      <c r="A236">
        <v>235</v>
      </c>
      <c r="B236" s="5">
        <v>40554</v>
      </c>
      <c r="C236">
        <v>1</v>
      </c>
      <c r="D236">
        <v>1</v>
      </c>
      <c r="E236" t="b">
        <v>0</v>
      </c>
      <c r="F236">
        <v>2</v>
      </c>
      <c r="G236">
        <v>1</v>
      </c>
      <c r="H236">
        <v>0.14000000000000001</v>
      </c>
      <c r="I236" t="s">
        <v>5</v>
      </c>
      <c r="J236" t="s">
        <v>19</v>
      </c>
      <c r="K236" t="s">
        <v>20</v>
      </c>
      <c r="L236">
        <v>0.59</v>
      </c>
      <c r="M236">
        <v>0</v>
      </c>
      <c r="N236">
        <v>3</v>
      </c>
      <c r="O236">
        <v>3</v>
      </c>
      <c r="P236" s="2">
        <v>0.1515</v>
      </c>
      <c r="Q236" s="2">
        <v>0.16420000000000001</v>
      </c>
      <c r="R236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237" spans="1:18" ht="14.25" x14ac:dyDescent="0.2">
      <c r="A237">
        <v>236</v>
      </c>
      <c r="B237" s="5">
        <v>40554</v>
      </c>
      <c r="C237">
        <v>1</v>
      </c>
      <c r="D237">
        <v>2</v>
      </c>
      <c r="E237" t="b">
        <v>0</v>
      </c>
      <c r="F237">
        <v>2</v>
      </c>
      <c r="G237">
        <v>2</v>
      </c>
      <c r="H237">
        <v>0.16</v>
      </c>
      <c r="I237" t="s">
        <v>5</v>
      </c>
      <c r="J237" t="s">
        <v>21</v>
      </c>
      <c r="K237" t="s">
        <v>20</v>
      </c>
      <c r="L237">
        <v>0.55000000000000004</v>
      </c>
      <c r="M237">
        <v>0</v>
      </c>
      <c r="N237">
        <v>3</v>
      </c>
      <c r="O237">
        <v>3</v>
      </c>
      <c r="P237" s="2">
        <v>0.1515</v>
      </c>
      <c r="Q237" s="2">
        <v>0.19400000000000001</v>
      </c>
      <c r="R237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238" spans="1:18" ht="14.25" x14ac:dyDescent="0.2">
      <c r="A238">
        <v>237</v>
      </c>
      <c r="B238" s="5">
        <v>40554</v>
      </c>
      <c r="C238">
        <v>1</v>
      </c>
      <c r="D238">
        <v>5</v>
      </c>
      <c r="E238" t="b">
        <v>0</v>
      </c>
      <c r="F238">
        <v>2</v>
      </c>
      <c r="G238">
        <v>2</v>
      </c>
      <c r="H238">
        <v>0.16</v>
      </c>
      <c r="I238" t="s">
        <v>5</v>
      </c>
      <c r="J238" t="s">
        <v>21</v>
      </c>
      <c r="K238" t="s">
        <v>20</v>
      </c>
      <c r="L238">
        <v>0.55000000000000004</v>
      </c>
      <c r="M238">
        <v>0</v>
      </c>
      <c r="N238">
        <v>6</v>
      </c>
      <c r="O238">
        <v>6</v>
      </c>
      <c r="P238" s="2">
        <v>0.18179999999999999</v>
      </c>
      <c r="Q238" s="2">
        <v>0.1343</v>
      </c>
      <c r="R238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239" spans="1:18" ht="14.25" x14ac:dyDescent="0.2">
      <c r="A239">
        <v>238</v>
      </c>
      <c r="B239" s="5">
        <v>40554</v>
      </c>
      <c r="C239">
        <v>1</v>
      </c>
      <c r="D239">
        <v>6</v>
      </c>
      <c r="E239" t="b">
        <v>0</v>
      </c>
      <c r="F239">
        <v>2</v>
      </c>
      <c r="G239">
        <v>2</v>
      </c>
      <c r="H239">
        <v>0.16</v>
      </c>
      <c r="I239" t="s">
        <v>5</v>
      </c>
      <c r="J239" t="s">
        <v>21</v>
      </c>
      <c r="K239" t="s">
        <v>20</v>
      </c>
      <c r="L239">
        <v>0.55000000000000004</v>
      </c>
      <c r="M239">
        <v>0</v>
      </c>
      <c r="N239">
        <v>27</v>
      </c>
      <c r="O239">
        <v>27</v>
      </c>
      <c r="P239" s="2">
        <v>0.18179999999999999</v>
      </c>
      <c r="Q239" s="2">
        <v>0.1343</v>
      </c>
      <c r="R239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240" spans="1:18" ht="14.25" x14ac:dyDescent="0.2">
      <c r="A240">
        <v>239</v>
      </c>
      <c r="B240" s="5">
        <v>40554</v>
      </c>
      <c r="C240">
        <v>1</v>
      </c>
      <c r="D240">
        <v>7</v>
      </c>
      <c r="E240" t="b">
        <v>0</v>
      </c>
      <c r="F240">
        <v>2</v>
      </c>
      <c r="G240">
        <v>2</v>
      </c>
      <c r="H240">
        <v>0.16</v>
      </c>
      <c r="I240" t="s">
        <v>5</v>
      </c>
      <c r="J240" t="s">
        <v>21</v>
      </c>
      <c r="K240" t="s">
        <v>20</v>
      </c>
      <c r="L240">
        <v>0.55000000000000004</v>
      </c>
      <c r="M240">
        <v>2</v>
      </c>
      <c r="N240">
        <v>97</v>
      </c>
      <c r="O240">
        <v>99</v>
      </c>
      <c r="P240" s="2">
        <v>0.2273</v>
      </c>
      <c r="Q240" s="2">
        <v>0</v>
      </c>
      <c r="R240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241" spans="1:18" ht="14.25" x14ac:dyDescent="0.2">
      <c r="A241">
        <v>240</v>
      </c>
      <c r="B241" s="5">
        <v>40554</v>
      </c>
      <c r="C241">
        <v>1</v>
      </c>
      <c r="D241">
        <v>8</v>
      </c>
      <c r="E241" t="b">
        <v>0</v>
      </c>
      <c r="F241">
        <v>2</v>
      </c>
      <c r="G241">
        <v>2</v>
      </c>
      <c r="H241">
        <v>0.18</v>
      </c>
      <c r="I241" t="s">
        <v>5</v>
      </c>
      <c r="J241" t="s">
        <v>21</v>
      </c>
      <c r="K241" t="s">
        <v>20</v>
      </c>
      <c r="L241">
        <v>0.51</v>
      </c>
      <c r="M241">
        <v>3</v>
      </c>
      <c r="N241">
        <v>214</v>
      </c>
      <c r="O241">
        <v>217</v>
      </c>
      <c r="P241" s="2">
        <v>0.21210000000000001</v>
      </c>
      <c r="Q241" s="2">
        <v>8.9599999999999999E-2</v>
      </c>
      <c r="R241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242" spans="1:18" ht="14.25" x14ac:dyDescent="0.2">
      <c r="A242">
        <v>241</v>
      </c>
      <c r="B242" s="5">
        <v>40554</v>
      </c>
      <c r="C242">
        <v>1</v>
      </c>
      <c r="D242">
        <v>9</v>
      </c>
      <c r="E242" t="b">
        <v>0</v>
      </c>
      <c r="F242">
        <v>2</v>
      </c>
      <c r="G242">
        <v>2</v>
      </c>
      <c r="H242">
        <v>0.18</v>
      </c>
      <c r="I242" t="s">
        <v>5</v>
      </c>
      <c r="J242" t="s">
        <v>21</v>
      </c>
      <c r="K242" t="s">
        <v>20</v>
      </c>
      <c r="L242">
        <v>0.51</v>
      </c>
      <c r="M242">
        <v>3</v>
      </c>
      <c r="N242">
        <v>127</v>
      </c>
      <c r="O242">
        <v>130</v>
      </c>
      <c r="P242" s="2">
        <v>0.19700000000000001</v>
      </c>
      <c r="Q242" s="2">
        <v>0.16420000000000001</v>
      </c>
      <c r="R242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243" spans="1:18" ht="14.25" x14ac:dyDescent="0.2">
      <c r="A243">
        <v>242</v>
      </c>
      <c r="B243" s="5">
        <v>40554</v>
      </c>
      <c r="C243">
        <v>1</v>
      </c>
      <c r="D243">
        <v>10</v>
      </c>
      <c r="E243" t="b">
        <v>0</v>
      </c>
      <c r="F243">
        <v>2</v>
      </c>
      <c r="G243">
        <v>2</v>
      </c>
      <c r="H243">
        <v>0.2</v>
      </c>
      <c r="I243" t="s">
        <v>5</v>
      </c>
      <c r="J243" t="s">
        <v>21</v>
      </c>
      <c r="K243" t="s">
        <v>20</v>
      </c>
      <c r="L243">
        <v>0.51</v>
      </c>
      <c r="M243">
        <v>3</v>
      </c>
      <c r="N243">
        <v>51</v>
      </c>
      <c r="O243">
        <v>54</v>
      </c>
      <c r="P243" s="2">
        <v>0.21210000000000001</v>
      </c>
      <c r="Q243" s="2">
        <v>0.16420000000000001</v>
      </c>
      <c r="R243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244" spans="1:18" ht="14.25" x14ac:dyDescent="0.2">
      <c r="A244">
        <v>243</v>
      </c>
      <c r="B244" s="5">
        <v>40554</v>
      </c>
      <c r="C244">
        <v>1</v>
      </c>
      <c r="D244">
        <v>11</v>
      </c>
      <c r="E244" t="b">
        <v>0</v>
      </c>
      <c r="F244">
        <v>2</v>
      </c>
      <c r="G244">
        <v>2</v>
      </c>
      <c r="H244">
        <v>0.2</v>
      </c>
      <c r="I244" t="s">
        <v>5</v>
      </c>
      <c r="J244" t="s">
        <v>21</v>
      </c>
      <c r="K244" t="s">
        <v>20</v>
      </c>
      <c r="L244">
        <v>0.47</v>
      </c>
      <c r="M244">
        <v>4</v>
      </c>
      <c r="N244">
        <v>31</v>
      </c>
      <c r="O244">
        <v>35</v>
      </c>
      <c r="P244" s="2">
        <v>0.21210000000000001</v>
      </c>
      <c r="Q244" s="2">
        <v>0.1343</v>
      </c>
      <c r="R244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245" spans="1:18" ht="14.25" x14ac:dyDescent="0.2">
      <c r="A245">
        <v>244</v>
      </c>
      <c r="B245" s="5">
        <v>40554</v>
      </c>
      <c r="C245">
        <v>1</v>
      </c>
      <c r="D245">
        <v>12</v>
      </c>
      <c r="E245" t="b">
        <v>0</v>
      </c>
      <c r="F245">
        <v>2</v>
      </c>
      <c r="G245">
        <v>2</v>
      </c>
      <c r="H245">
        <v>0.2</v>
      </c>
      <c r="I245" t="s">
        <v>5</v>
      </c>
      <c r="J245" t="s">
        <v>21</v>
      </c>
      <c r="K245" t="s">
        <v>22</v>
      </c>
      <c r="L245">
        <v>0.51</v>
      </c>
      <c r="M245">
        <v>2</v>
      </c>
      <c r="N245">
        <v>55</v>
      </c>
      <c r="O245">
        <v>57</v>
      </c>
      <c r="P245" s="2">
        <v>0.2273</v>
      </c>
      <c r="Q245" s="2">
        <v>0.1045</v>
      </c>
      <c r="R245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246" spans="1:18" ht="14.25" x14ac:dyDescent="0.2">
      <c r="A246">
        <v>245</v>
      </c>
      <c r="B246" s="5">
        <v>40554</v>
      </c>
      <c r="C246">
        <v>1</v>
      </c>
      <c r="D246">
        <v>13</v>
      </c>
      <c r="E246" t="b">
        <v>0</v>
      </c>
      <c r="F246">
        <v>2</v>
      </c>
      <c r="G246">
        <v>2</v>
      </c>
      <c r="H246">
        <v>0.2</v>
      </c>
      <c r="I246" t="s">
        <v>5</v>
      </c>
      <c r="J246" t="s">
        <v>21</v>
      </c>
      <c r="K246" t="s">
        <v>22</v>
      </c>
      <c r="L246">
        <v>0.59</v>
      </c>
      <c r="M246">
        <v>6</v>
      </c>
      <c r="N246">
        <v>46</v>
      </c>
      <c r="O246">
        <v>52</v>
      </c>
      <c r="P246" s="2">
        <v>0.2273</v>
      </c>
      <c r="Q246" s="2">
        <v>8.9599999999999999E-2</v>
      </c>
      <c r="R246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247" spans="1:18" ht="14.25" x14ac:dyDescent="0.2">
      <c r="A247">
        <v>246</v>
      </c>
      <c r="B247" s="5">
        <v>40554</v>
      </c>
      <c r="C247">
        <v>1</v>
      </c>
      <c r="D247">
        <v>14</v>
      </c>
      <c r="E247" t="b">
        <v>0</v>
      </c>
      <c r="F247">
        <v>2</v>
      </c>
      <c r="G247">
        <v>2</v>
      </c>
      <c r="H247">
        <v>0.2</v>
      </c>
      <c r="I247" t="s">
        <v>5</v>
      </c>
      <c r="J247" t="s">
        <v>21</v>
      </c>
      <c r="K247" t="s">
        <v>22</v>
      </c>
      <c r="L247">
        <v>0.59</v>
      </c>
      <c r="M247">
        <v>3</v>
      </c>
      <c r="N247">
        <v>60</v>
      </c>
      <c r="O247">
        <v>63</v>
      </c>
      <c r="P247" s="2">
        <v>0.2273</v>
      </c>
      <c r="Q247" s="2">
        <v>8.9599999999999999E-2</v>
      </c>
      <c r="R247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248" spans="1:18" ht="14.25" x14ac:dyDescent="0.2">
      <c r="A248">
        <v>247</v>
      </c>
      <c r="B248" s="5">
        <v>40554</v>
      </c>
      <c r="C248">
        <v>1</v>
      </c>
      <c r="D248">
        <v>15</v>
      </c>
      <c r="E248" t="b">
        <v>0</v>
      </c>
      <c r="F248">
        <v>2</v>
      </c>
      <c r="G248">
        <v>2</v>
      </c>
      <c r="H248">
        <v>0.16</v>
      </c>
      <c r="I248" t="s">
        <v>5</v>
      </c>
      <c r="J248" t="s">
        <v>21</v>
      </c>
      <c r="K248" t="s">
        <v>22</v>
      </c>
      <c r="L248">
        <v>0.8</v>
      </c>
      <c r="M248">
        <v>2</v>
      </c>
      <c r="N248">
        <v>45</v>
      </c>
      <c r="O248">
        <v>47</v>
      </c>
      <c r="P248" s="2">
        <v>0.19700000000000001</v>
      </c>
      <c r="Q248" s="2">
        <v>8.9599999999999999E-2</v>
      </c>
      <c r="R248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249" spans="1:18" ht="14.25" x14ac:dyDescent="0.2">
      <c r="A249">
        <v>248</v>
      </c>
      <c r="B249" s="5">
        <v>40554</v>
      </c>
      <c r="C249">
        <v>1</v>
      </c>
      <c r="D249">
        <v>16</v>
      </c>
      <c r="E249" t="b">
        <v>0</v>
      </c>
      <c r="F249">
        <v>2</v>
      </c>
      <c r="G249">
        <v>2</v>
      </c>
      <c r="H249">
        <v>0.16</v>
      </c>
      <c r="I249" t="s">
        <v>5</v>
      </c>
      <c r="J249" t="s">
        <v>21</v>
      </c>
      <c r="K249" t="s">
        <v>22</v>
      </c>
      <c r="L249">
        <v>0.86</v>
      </c>
      <c r="M249">
        <v>4</v>
      </c>
      <c r="N249">
        <v>72</v>
      </c>
      <c r="O249">
        <v>76</v>
      </c>
      <c r="P249" s="2">
        <v>0.1515</v>
      </c>
      <c r="Q249" s="2">
        <v>0.22389999999999999</v>
      </c>
      <c r="R249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250" spans="1:18" ht="14.25" x14ac:dyDescent="0.2">
      <c r="A250">
        <v>249</v>
      </c>
      <c r="B250" s="5">
        <v>40554</v>
      </c>
      <c r="C250">
        <v>1</v>
      </c>
      <c r="D250">
        <v>17</v>
      </c>
      <c r="E250" t="b">
        <v>0</v>
      </c>
      <c r="F250">
        <v>2</v>
      </c>
      <c r="G250">
        <v>2</v>
      </c>
      <c r="H250">
        <v>0.16</v>
      </c>
      <c r="I250" t="s">
        <v>5</v>
      </c>
      <c r="J250" t="s">
        <v>21</v>
      </c>
      <c r="K250" t="s">
        <v>23</v>
      </c>
      <c r="L250">
        <v>0.86</v>
      </c>
      <c r="M250">
        <v>6</v>
      </c>
      <c r="N250">
        <v>130</v>
      </c>
      <c r="O250">
        <v>136</v>
      </c>
      <c r="P250" s="2">
        <v>0.1515</v>
      </c>
      <c r="Q250" s="2">
        <v>0.22389999999999999</v>
      </c>
      <c r="R250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251" spans="1:18" ht="14.25" x14ac:dyDescent="0.2">
      <c r="A251">
        <v>250</v>
      </c>
      <c r="B251" s="5">
        <v>40554</v>
      </c>
      <c r="C251">
        <v>1</v>
      </c>
      <c r="D251">
        <v>18</v>
      </c>
      <c r="E251" t="b">
        <v>0</v>
      </c>
      <c r="F251">
        <v>2</v>
      </c>
      <c r="G251">
        <v>3</v>
      </c>
      <c r="H251">
        <v>0.16</v>
      </c>
      <c r="I251" t="s">
        <v>5</v>
      </c>
      <c r="J251" t="s">
        <v>24</v>
      </c>
      <c r="K251" t="s">
        <v>23</v>
      </c>
      <c r="L251">
        <v>0.93</v>
      </c>
      <c r="M251">
        <v>1</v>
      </c>
      <c r="N251">
        <v>94</v>
      </c>
      <c r="O251">
        <v>95</v>
      </c>
      <c r="P251" s="2">
        <v>0.18179999999999999</v>
      </c>
      <c r="Q251" s="2">
        <v>0.1045</v>
      </c>
      <c r="R251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252" spans="1:18" ht="14.25" x14ac:dyDescent="0.2">
      <c r="A252">
        <v>251</v>
      </c>
      <c r="B252" s="5">
        <v>40554</v>
      </c>
      <c r="C252">
        <v>1</v>
      </c>
      <c r="D252">
        <v>19</v>
      </c>
      <c r="E252" t="b">
        <v>0</v>
      </c>
      <c r="F252">
        <v>2</v>
      </c>
      <c r="G252">
        <v>3</v>
      </c>
      <c r="H252">
        <v>0.16</v>
      </c>
      <c r="I252" t="s">
        <v>5</v>
      </c>
      <c r="J252" t="s">
        <v>24</v>
      </c>
      <c r="K252" t="s">
        <v>23</v>
      </c>
      <c r="L252">
        <v>0.93</v>
      </c>
      <c r="M252">
        <v>0</v>
      </c>
      <c r="N252">
        <v>51</v>
      </c>
      <c r="O252">
        <v>51</v>
      </c>
      <c r="P252" s="2">
        <v>0.2273</v>
      </c>
      <c r="Q252" s="2">
        <v>0</v>
      </c>
      <c r="R252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253" spans="1:18" ht="14.25" x14ac:dyDescent="0.2">
      <c r="A253">
        <v>252</v>
      </c>
      <c r="B253" s="5">
        <v>40554</v>
      </c>
      <c r="C253">
        <v>1</v>
      </c>
      <c r="D253">
        <v>20</v>
      </c>
      <c r="E253" t="b">
        <v>0</v>
      </c>
      <c r="F253">
        <v>2</v>
      </c>
      <c r="G253">
        <v>3</v>
      </c>
      <c r="H253">
        <v>0.16</v>
      </c>
      <c r="I253" t="s">
        <v>5</v>
      </c>
      <c r="J253" t="s">
        <v>24</v>
      </c>
      <c r="K253" t="s">
        <v>23</v>
      </c>
      <c r="L253">
        <v>0.93</v>
      </c>
      <c r="M253">
        <v>0</v>
      </c>
      <c r="N253">
        <v>32</v>
      </c>
      <c r="O253">
        <v>32</v>
      </c>
      <c r="P253" s="2">
        <v>0.1515</v>
      </c>
      <c r="Q253" s="2">
        <v>0.19400000000000001</v>
      </c>
      <c r="R253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254" spans="1:18" ht="14.25" x14ac:dyDescent="0.2">
      <c r="A254">
        <v>253</v>
      </c>
      <c r="B254" s="5">
        <v>40554</v>
      </c>
      <c r="C254">
        <v>1</v>
      </c>
      <c r="D254">
        <v>21</v>
      </c>
      <c r="E254" t="b">
        <v>0</v>
      </c>
      <c r="F254">
        <v>2</v>
      </c>
      <c r="G254">
        <v>3</v>
      </c>
      <c r="H254">
        <v>0.16</v>
      </c>
      <c r="I254" t="s">
        <v>5</v>
      </c>
      <c r="J254" t="s">
        <v>24</v>
      </c>
      <c r="K254" t="s">
        <v>25</v>
      </c>
      <c r="L254">
        <v>0.86</v>
      </c>
      <c r="M254">
        <v>0</v>
      </c>
      <c r="N254">
        <v>20</v>
      </c>
      <c r="O254">
        <v>20</v>
      </c>
      <c r="P254" s="2">
        <v>0.19700000000000001</v>
      </c>
      <c r="Q254" s="2">
        <v>8.9599999999999999E-2</v>
      </c>
      <c r="R254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255" spans="1:18" ht="14.25" x14ac:dyDescent="0.2">
      <c r="A255">
        <v>254</v>
      </c>
      <c r="B255" s="5">
        <v>40554</v>
      </c>
      <c r="C255">
        <v>1</v>
      </c>
      <c r="D255">
        <v>22</v>
      </c>
      <c r="E255" t="b">
        <v>0</v>
      </c>
      <c r="F255">
        <v>2</v>
      </c>
      <c r="G255">
        <v>3</v>
      </c>
      <c r="H255">
        <v>0.16</v>
      </c>
      <c r="I255" t="s">
        <v>5</v>
      </c>
      <c r="J255" t="s">
        <v>24</v>
      </c>
      <c r="K255" t="s">
        <v>25</v>
      </c>
      <c r="L255">
        <v>0.93</v>
      </c>
      <c r="M255">
        <v>1</v>
      </c>
      <c r="N255">
        <v>28</v>
      </c>
      <c r="O255">
        <v>29</v>
      </c>
      <c r="P255" s="2">
        <v>0.18179999999999999</v>
      </c>
      <c r="Q255" s="2">
        <v>0.1045</v>
      </c>
      <c r="R255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256" spans="1:18" ht="14.25" x14ac:dyDescent="0.2">
      <c r="A256">
        <v>255</v>
      </c>
      <c r="B256" s="5">
        <v>40554</v>
      </c>
      <c r="C256">
        <v>1</v>
      </c>
      <c r="D256">
        <v>23</v>
      </c>
      <c r="E256" t="b">
        <v>0</v>
      </c>
      <c r="F256">
        <v>2</v>
      </c>
      <c r="G256">
        <v>3</v>
      </c>
      <c r="H256">
        <v>0.16</v>
      </c>
      <c r="I256" t="s">
        <v>5</v>
      </c>
      <c r="J256" t="s">
        <v>24</v>
      </c>
      <c r="K256" t="s">
        <v>25</v>
      </c>
      <c r="L256">
        <v>0.93</v>
      </c>
      <c r="M256">
        <v>1</v>
      </c>
      <c r="N256">
        <v>18</v>
      </c>
      <c r="O256">
        <v>19</v>
      </c>
      <c r="P256" s="2">
        <v>0.19700000000000001</v>
      </c>
      <c r="Q256" s="2">
        <v>8.9599999999999999E-2</v>
      </c>
      <c r="R256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257" spans="1:18" ht="14.25" x14ac:dyDescent="0.2">
      <c r="A257">
        <v>256</v>
      </c>
      <c r="B257" s="5">
        <v>40555</v>
      </c>
      <c r="C257">
        <v>1</v>
      </c>
      <c r="D257">
        <v>0</v>
      </c>
      <c r="E257" t="b">
        <v>0</v>
      </c>
      <c r="F257">
        <v>3</v>
      </c>
      <c r="G257">
        <v>2</v>
      </c>
      <c r="H257">
        <v>0.16</v>
      </c>
      <c r="I257" t="s">
        <v>5</v>
      </c>
      <c r="J257" t="s">
        <v>21</v>
      </c>
      <c r="K257" t="s">
        <v>20</v>
      </c>
      <c r="L257">
        <v>0.86</v>
      </c>
      <c r="M257">
        <v>0</v>
      </c>
      <c r="N257">
        <v>7</v>
      </c>
      <c r="O257">
        <v>7</v>
      </c>
      <c r="P257" s="2">
        <v>0.19700000000000001</v>
      </c>
      <c r="Q257" s="2">
        <v>8.9599999999999999E-2</v>
      </c>
      <c r="R257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258" spans="1:18" ht="14.25" x14ac:dyDescent="0.2">
      <c r="A258">
        <v>257</v>
      </c>
      <c r="B258" s="5">
        <v>40555</v>
      </c>
      <c r="C258">
        <v>1</v>
      </c>
      <c r="D258">
        <v>1</v>
      </c>
      <c r="E258" t="b">
        <v>0</v>
      </c>
      <c r="F258">
        <v>3</v>
      </c>
      <c r="G258">
        <v>2</v>
      </c>
      <c r="H258">
        <v>0.16</v>
      </c>
      <c r="I258" t="s">
        <v>5</v>
      </c>
      <c r="J258" t="s">
        <v>21</v>
      </c>
      <c r="K258" t="s">
        <v>20</v>
      </c>
      <c r="L258">
        <v>0.86</v>
      </c>
      <c r="M258">
        <v>0</v>
      </c>
      <c r="N258">
        <v>6</v>
      </c>
      <c r="O258">
        <v>6</v>
      </c>
      <c r="P258" s="2">
        <v>0.18179999999999999</v>
      </c>
      <c r="Q258" s="2">
        <v>0.1045</v>
      </c>
      <c r="R258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259" spans="1:18" ht="14.25" x14ac:dyDescent="0.2">
      <c r="A259">
        <v>258</v>
      </c>
      <c r="B259" s="5">
        <v>40555</v>
      </c>
      <c r="C259">
        <v>1</v>
      </c>
      <c r="D259">
        <v>2</v>
      </c>
      <c r="E259" t="b">
        <v>0</v>
      </c>
      <c r="F259">
        <v>3</v>
      </c>
      <c r="G259">
        <v>1</v>
      </c>
      <c r="H259">
        <v>0.14000000000000001</v>
      </c>
      <c r="I259" t="s">
        <v>5</v>
      </c>
      <c r="J259" t="s">
        <v>19</v>
      </c>
      <c r="K259" t="s">
        <v>20</v>
      </c>
      <c r="L259">
        <v>0.86</v>
      </c>
      <c r="M259">
        <v>0</v>
      </c>
      <c r="N259">
        <v>1</v>
      </c>
      <c r="O259">
        <v>1</v>
      </c>
      <c r="P259" s="2">
        <v>0.1515</v>
      </c>
      <c r="Q259" s="2">
        <v>0.1343</v>
      </c>
      <c r="R259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260" spans="1:18" ht="14.25" x14ac:dyDescent="0.2">
      <c r="A260">
        <v>259</v>
      </c>
      <c r="B260" s="5">
        <v>40555</v>
      </c>
      <c r="C260">
        <v>1</v>
      </c>
      <c r="D260">
        <v>5</v>
      </c>
      <c r="E260" t="b">
        <v>0</v>
      </c>
      <c r="F260">
        <v>3</v>
      </c>
      <c r="G260">
        <v>1</v>
      </c>
      <c r="H260">
        <v>0.14000000000000001</v>
      </c>
      <c r="I260" t="s">
        <v>5</v>
      </c>
      <c r="J260" t="s">
        <v>19</v>
      </c>
      <c r="K260" t="s">
        <v>20</v>
      </c>
      <c r="L260">
        <v>0.86</v>
      </c>
      <c r="M260">
        <v>0</v>
      </c>
      <c r="N260">
        <v>5</v>
      </c>
      <c r="O260">
        <v>5</v>
      </c>
      <c r="P260" s="2">
        <v>0.1515</v>
      </c>
      <c r="Q260" s="2">
        <v>0.16420000000000001</v>
      </c>
      <c r="R260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261" spans="1:18" ht="14.25" x14ac:dyDescent="0.2">
      <c r="A261">
        <v>260</v>
      </c>
      <c r="B261" s="5">
        <v>40555</v>
      </c>
      <c r="C261">
        <v>1</v>
      </c>
      <c r="D261">
        <v>6</v>
      </c>
      <c r="E261" t="b">
        <v>0</v>
      </c>
      <c r="F261">
        <v>3</v>
      </c>
      <c r="G261">
        <v>1</v>
      </c>
      <c r="H261">
        <v>0.12</v>
      </c>
      <c r="I261" t="s">
        <v>5</v>
      </c>
      <c r="J261" t="s">
        <v>19</v>
      </c>
      <c r="K261" t="s">
        <v>20</v>
      </c>
      <c r="L261">
        <v>0.93</v>
      </c>
      <c r="M261">
        <v>0</v>
      </c>
      <c r="N261">
        <v>16</v>
      </c>
      <c r="O261">
        <v>16</v>
      </c>
      <c r="P261" s="2">
        <v>0.1515</v>
      </c>
      <c r="Q261" s="2">
        <v>0.1343</v>
      </c>
      <c r="R261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262" spans="1:18" ht="14.25" x14ac:dyDescent="0.2">
      <c r="A262">
        <v>261</v>
      </c>
      <c r="B262" s="5">
        <v>40555</v>
      </c>
      <c r="C262">
        <v>1</v>
      </c>
      <c r="D262">
        <v>7</v>
      </c>
      <c r="E262" t="b">
        <v>0</v>
      </c>
      <c r="F262">
        <v>3</v>
      </c>
      <c r="G262">
        <v>1</v>
      </c>
      <c r="H262">
        <v>0.14000000000000001</v>
      </c>
      <c r="I262" t="s">
        <v>5</v>
      </c>
      <c r="J262" t="s">
        <v>19</v>
      </c>
      <c r="K262" t="s">
        <v>20</v>
      </c>
      <c r="L262">
        <v>0.69</v>
      </c>
      <c r="M262">
        <v>0</v>
      </c>
      <c r="N262">
        <v>54</v>
      </c>
      <c r="O262">
        <v>54</v>
      </c>
      <c r="P262" s="2">
        <v>0.1515</v>
      </c>
      <c r="Q262" s="2">
        <v>0.1343</v>
      </c>
      <c r="R262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263" spans="1:18" ht="14.25" x14ac:dyDescent="0.2">
      <c r="A263">
        <v>262</v>
      </c>
      <c r="B263" s="5">
        <v>40555</v>
      </c>
      <c r="C263">
        <v>1</v>
      </c>
      <c r="D263">
        <v>8</v>
      </c>
      <c r="E263" t="b">
        <v>0</v>
      </c>
      <c r="F263">
        <v>3</v>
      </c>
      <c r="G263">
        <v>1</v>
      </c>
      <c r="H263">
        <v>0.16</v>
      </c>
      <c r="I263" t="s">
        <v>5</v>
      </c>
      <c r="J263" t="s">
        <v>19</v>
      </c>
      <c r="K263" t="s">
        <v>20</v>
      </c>
      <c r="L263">
        <v>0.59</v>
      </c>
      <c r="M263">
        <v>3</v>
      </c>
      <c r="N263">
        <v>125</v>
      </c>
      <c r="O263">
        <v>128</v>
      </c>
      <c r="P263" s="2">
        <v>0.16669999999999999</v>
      </c>
      <c r="Q263" s="2">
        <v>0.16420000000000001</v>
      </c>
      <c r="R263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264" spans="1:18" ht="14.25" x14ac:dyDescent="0.2">
      <c r="A264">
        <v>263</v>
      </c>
      <c r="B264" s="5">
        <v>40555</v>
      </c>
      <c r="C264">
        <v>1</v>
      </c>
      <c r="D264">
        <v>9</v>
      </c>
      <c r="E264" t="b">
        <v>0</v>
      </c>
      <c r="F264">
        <v>3</v>
      </c>
      <c r="G264">
        <v>1</v>
      </c>
      <c r="H264">
        <v>0.16</v>
      </c>
      <c r="I264" t="s">
        <v>5</v>
      </c>
      <c r="J264" t="s">
        <v>19</v>
      </c>
      <c r="K264" t="s">
        <v>20</v>
      </c>
      <c r="L264">
        <v>0.59</v>
      </c>
      <c r="M264">
        <v>3</v>
      </c>
      <c r="N264">
        <v>78</v>
      </c>
      <c r="O264">
        <v>81</v>
      </c>
      <c r="P264" s="2">
        <v>0.13639999999999999</v>
      </c>
      <c r="Q264" s="2">
        <v>0.32840000000000003</v>
      </c>
      <c r="R264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265" spans="1:18" ht="14.25" x14ac:dyDescent="0.2">
      <c r="A265">
        <v>264</v>
      </c>
      <c r="B265" s="5">
        <v>40555</v>
      </c>
      <c r="C265">
        <v>1</v>
      </c>
      <c r="D265">
        <v>10</v>
      </c>
      <c r="E265" t="b">
        <v>0</v>
      </c>
      <c r="F265">
        <v>3</v>
      </c>
      <c r="G265">
        <v>1</v>
      </c>
      <c r="H265">
        <v>0.18</v>
      </c>
      <c r="I265" t="s">
        <v>5</v>
      </c>
      <c r="J265" t="s">
        <v>19</v>
      </c>
      <c r="K265" t="s">
        <v>20</v>
      </c>
      <c r="L265">
        <v>0.55000000000000004</v>
      </c>
      <c r="M265">
        <v>0</v>
      </c>
      <c r="N265">
        <v>39</v>
      </c>
      <c r="O265">
        <v>39</v>
      </c>
      <c r="P265" s="2">
        <v>0.18179999999999999</v>
      </c>
      <c r="Q265" s="2">
        <v>0.22389999999999999</v>
      </c>
      <c r="R265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266" spans="1:18" ht="14.25" x14ac:dyDescent="0.2">
      <c r="A266">
        <v>265</v>
      </c>
      <c r="B266" s="5">
        <v>40555</v>
      </c>
      <c r="C266">
        <v>1</v>
      </c>
      <c r="D266">
        <v>11</v>
      </c>
      <c r="E266" t="b">
        <v>0</v>
      </c>
      <c r="F266">
        <v>3</v>
      </c>
      <c r="G266">
        <v>1</v>
      </c>
      <c r="H266">
        <v>0.2</v>
      </c>
      <c r="I266" t="s">
        <v>5</v>
      </c>
      <c r="J266" t="s">
        <v>19</v>
      </c>
      <c r="K266" t="s">
        <v>20</v>
      </c>
      <c r="L266">
        <v>0.51</v>
      </c>
      <c r="M266">
        <v>3</v>
      </c>
      <c r="N266">
        <v>32</v>
      </c>
      <c r="O266">
        <v>35</v>
      </c>
      <c r="P266" s="2">
        <v>0.18179999999999999</v>
      </c>
      <c r="Q266" s="2">
        <v>0.3881</v>
      </c>
      <c r="R266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267" spans="1:18" ht="14.25" x14ac:dyDescent="0.2">
      <c r="A267">
        <v>266</v>
      </c>
      <c r="B267" s="5">
        <v>40555</v>
      </c>
      <c r="C267">
        <v>1</v>
      </c>
      <c r="D267">
        <v>12</v>
      </c>
      <c r="E267" t="b">
        <v>0</v>
      </c>
      <c r="F267">
        <v>3</v>
      </c>
      <c r="G267">
        <v>1</v>
      </c>
      <c r="H267">
        <v>0.2</v>
      </c>
      <c r="I267" t="s">
        <v>5</v>
      </c>
      <c r="J267" t="s">
        <v>19</v>
      </c>
      <c r="K267" t="s">
        <v>22</v>
      </c>
      <c r="L267">
        <v>0.47</v>
      </c>
      <c r="M267">
        <v>3</v>
      </c>
      <c r="N267">
        <v>52</v>
      </c>
      <c r="O267">
        <v>55</v>
      </c>
      <c r="P267" s="2">
        <v>0.1515</v>
      </c>
      <c r="Q267" s="2">
        <v>0.58209999999999995</v>
      </c>
      <c r="R267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268" spans="1:18" ht="14.25" x14ac:dyDescent="0.2">
      <c r="A268">
        <v>267</v>
      </c>
      <c r="B268" s="5">
        <v>40555</v>
      </c>
      <c r="C268">
        <v>1</v>
      </c>
      <c r="D268">
        <v>13</v>
      </c>
      <c r="E268" t="b">
        <v>0</v>
      </c>
      <c r="F268">
        <v>3</v>
      </c>
      <c r="G268">
        <v>1</v>
      </c>
      <c r="H268">
        <v>0.22</v>
      </c>
      <c r="I268" t="s">
        <v>5</v>
      </c>
      <c r="J268" t="s">
        <v>19</v>
      </c>
      <c r="K268" t="s">
        <v>22</v>
      </c>
      <c r="L268">
        <v>0.44</v>
      </c>
      <c r="M268">
        <v>0</v>
      </c>
      <c r="N268">
        <v>49</v>
      </c>
      <c r="O268">
        <v>49</v>
      </c>
      <c r="P268" s="2">
        <v>0.19700000000000001</v>
      </c>
      <c r="Q268" s="2">
        <v>0.35820000000000002</v>
      </c>
      <c r="R268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269" spans="1:18" ht="14.25" x14ac:dyDescent="0.2">
      <c r="A269">
        <v>268</v>
      </c>
      <c r="B269" s="5">
        <v>40555</v>
      </c>
      <c r="C269">
        <v>1</v>
      </c>
      <c r="D269">
        <v>14</v>
      </c>
      <c r="E269" t="b">
        <v>0</v>
      </c>
      <c r="F269">
        <v>3</v>
      </c>
      <c r="G269">
        <v>1</v>
      </c>
      <c r="H269">
        <v>0.2</v>
      </c>
      <c r="I269" t="s">
        <v>5</v>
      </c>
      <c r="J269" t="s">
        <v>19</v>
      </c>
      <c r="K269" t="s">
        <v>22</v>
      </c>
      <c r="L269">
        <v>0.47</v>
      </c>
      <c r="M269">
        <v>0</v>
      </c>
      <c r="N269">
        <v>44</v>
      </c>
      <c r="O269">
        <v>44</v>
      </c>
      <c r="P269" s="2">
        <v>0.18179999999999999</v>
      </c>
      <c r="Q269" s="2">
        <v>0.32840000000000003</v>
      </c>
      <c r="R269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270" spans="1:18" ht="14.25" x14ac:dyDescent="0.2">
      <c r="A270">
        <v>269</v>
      </c>
      <c r="B270" s="5">
        <v>40555</v>
      </c>
      <c r="C270">
        <v>1</v>
      </c>
      <c r="D270">
        <v>15</v>
      </c>
      <c r="E270" t="b">
        <v>0</v>
      </c>
      <c r="F270">
        <v>3</v>
      </c>
      <c r="G270">
        <v>1</v>
      </c>
      <c r="H270">
        <v>0.2</v>
      </c>
      <c r="I270" t="s">
        <v>5</v>
      </c>
      <c r="J270" t="s">
        <v>19</v>
      </c>
      <c r="K270" t="s">
        <v>22</v>
      </c>
      <c r="L270">
        <v>0.47</v>
      </c>
      <c r="M270">
        <v>1</v>
      </c>
      <c r="N270">
        <v>48</v>
      </c>
      <c r="O270">
        <v>49</v>
      </c>
      <c r="P270" s="2">
        <v>0.16669999999999999</v>
      </c>
      <c r="Q270" s="2">
        <v>0.41789999999999999</v>
      </c>
      <c r="R270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271" spans="1:18" ht="14.25" x14ac:dyDescent="0.2">
      <c r="A271">
        <v>270</v>
      </c>
      <c r="B271" s="5">
        <v>40555</v>
      </c>
      <c r="C271">
        <v>1</v>
      </c>
      <c r="D271">
        <v>16</v>
      </c>
      <c r="E271" t="b">
        <v>0</v>
      </c>
      <c r="F271">
        <v>3</v>
      </c>
      <c r="G271">
        <v>1</v>
      </c>
      <c r="H271">
        <v>0.22</v>
      </c>
      <c r="I271" t="s">
        <v>5</v>
      </c>
      <c r="J271" t="s">
        <v>19</v>
      </c>
      <c r="K271" t="s">
        <v>22</v>
      </c>
      <c r="L271">
        <v>0.44</v>
      </c>
      <c r="M271">
        <v>5</v>
      </c>
      <c r="N271">
        <v>63</v>
      </c>
      <c r="O271">
        <v>68</v>
      </c>
      <c r="P271" s="2">
        <v>0.19700000000000001</v>
      </c>
      <c r="Q271" s="2">
        <v>0.32840000000000003</v>
      </c>
      <c r="R271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272" spans="1:18" ht="14.25" x14ac:dyDescent="0.2">
      <c r="A272">
        <v>271</v>
      </c>
      <c r="B272" s="5">
        <v>40555</v>
      </c>
      <c r="C272">
        <v>1</v>
      </c>
      <c r="D272">
        <v>17</v>
      </c>
      <c r="E272" t="b">
        <v>0</v>
      </c>
      <c r="F272">
        <v>3</v>
      </c>
      <c r="G272">
        <v>1</v>
      </c>
      <c r="H272">
        <v>0.2</v>
      </c>
      <c r="I272" t="s">
        <v>5</v>
      </c>
      <c r="J272" t="s">
        <v>19</v>
      </c>
      <c r="K272" t="s">
        <v>23</v>
      </c>
      <c r="L272">
        <v>0.47</v>
      </c>
      <c r="M272">
        <v>0</v>
      </c>
      <c r="N272">
        <v>139</v>
      </c>
      <c r="O272">
        <v>139</v>
      </c>
      <c r="P272" s="2">
        <v>0.18179999999999999</v>
      </c>
      <c r="Q272" s="2">
        <v>0.35820000000000002</v>
      </c>
      <c r="R272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273" spans="1:18" ht="14.25" x14ac:dyDescent="0.2">
      <c r="A273">
        <v>272</v>
      </c>
      <c r="B273" s="5">
        <v>40555</v>
      </c>
      <c r="C273">
        <v>1</v>
      </c>
      <c r="D273">
        <v>18</v>
      </c>
      <c r="E273" t="b">
        <v>0</v>
      </c>
      <c r="F273">
        <v>3</v>
      </c>
      <c r="G273">
        <v>1</v>
      </c>
      <c r="H273">
        <v>0.2</v>
      </c>
      <c r="I273" t="s">
        <v>5</v>
      </c>
      <c r="J273" t="s">
        <v>19</v>
      </c>
      <c r="K273" t="s">
        <v>23</v>
      </c>
      <c r="L273">
        <v>0.47</v>
      </c>
      <c r="M273">
        <v>2</v>
      </c>
      <c r="N273">
        <v>135</v>
      </c>
      <c r="O273">
        <v>137</v>
      </c>
      <c r="P273" s="2">
        <v>0.1515</v>
      </c>
      <c r="Q273" s="2">
        <v>0.52239999999999998</v>
      </c>
      <c r="R273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274" spans="1:18" ht="14.25" x14ac:dyDescent="0.2">
      <c r="A274">
        <v>273</v>
      </c>
      <c r="B274" s="5">
        <v>40555</v>
      </c>
      <c r="C274">
        <v>1</v>
      </c>
      <c r="D274">
        <v>19</v>
      </c>
      <c r="E274" t="b">
        <v>0</v>
      </c>
      <c r="F274">
        <v>3</v>
      </c>
      <c r="G274">
        <v>1</v>
      </c>
      <c r="H274">
        <v>0.18</v>
      </c>
      <c r="I274" t="s">
        <v>5</v>
      </c>
      <c r="J274" t="s">
        <v>19</v>
      </c>
      <c r="K274" t="s">
        <v>23</v>
      </c>
      <c r="L274">
        <v>0.47</v>
      </c>
      <c r="M274">
        <v>1</v>
      </c>
      <c r="N274">
        <v>82</v>
      </c>
      <c r="O274">
        <v>83</v>
      </c>
      <c r="P274" s="2">
        <v>0.1515</v>
      </c>
      <c r="Q274" s="2">
        <v>0.41789999999999999</v>
      </c>
      <c r="R274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275" spans="1:18" ht="14.25" x14ac:dyDescent="0.2">
      <c r="A275">
        <v>274</v>
      </c>
      <c r="B275" s="5">
        <v>40555</v>
      </c>
      <c r="C275">
        <v>1</v>
      </c>
      <c r="D275">
        <v>20</v>
      </c>
      <c r="E275" t="b">
        <v>0</v>
      </c>
      <c r="F275">
        <v>3</v>
      </c>
      <c r="G275">
        <v>1</v>
      </c>
      <c r="H275">
        <v>0.16</v>
      </c>
      <c r="I275" t="s">
        <v>5</v>
      </c>
      <c r="J275" t="s">
        <v>19</v>
      </c>
      <c r="K275" t="s">
        <v>23</v>
      </c>
      <c r="L275">
        <v>0.5</v>
      </c>
      <c r="M275">
        <v>2</v>
      </c>
      <c r="N275">
        <v>54</v>
      </c>
      <c r="O275">
        <v>56</v>
      </c>
      <c r="P275" s="2">
        <v>0.13639999999999999</v>
      </c>
      <c r="Q275" s="2">
        <v>0.32840000000000003</v>
      </c>
      <c r="R275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276" spans="1:18" ht="14.25" x14ac:dyDescent="0.2">
      <c r="A276">
        <v>275</v>
      </c>
      <c r="B276" s="5">
        <v>40555</v>
      </c>
      <c r="C276">
        <v>1</v>
      </c>
      <c r="D276">
        <v>21</v>
      </c>
      <c r="E276" t="b">
        <v>0</v>
      </c>
      <c r="F276">
        <v>3</v>
      </c>
      <c r="G276">
        <v>1</v>
      </c>
      <c r="H276">
        <v>0.16</v>
      </c>
      <c r="I276" t="s">
        <v>5</v>
      </c>
      <c r="J276" t="s">
        <v>19</v>
      </c>
      <c r="K276" t="s">
        <v>25</v>
      </c>
      <c r="L276">
        <v>0.55000000000000004</v>
      </c>
      <c r="M276">
        <v>0</v>
      </c>
      <c r="N276">
        <v>57</v>
      </c>
      <c r="O276">
        <v>57</v>
      </c>
      <c r="P276" s="2">
        <v>0.13639999999999999</v>
      </c>
      <c r="Q276" s="2">
        <v>0.32840000000000003</v>
      </c>
      <c r="R276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277" spans="1:18" ht="14.25" x14ac:dyDescent="0.2">
      <c r="A277">
        <v>276</v>
      </c>
      <c r="B277" s="5">
        <v>40555</v>
      </c>
      <c r="C277">
        <v>1</v>
      </c>
      <c r="D277">
        <v>22</v>
      </c>
      <c r="E277" t="b">
        <v>0</v>
      </c>
      <c r="F277">
        <v>3</v>
      </c>
      <c r="G277">
        <v>1</v>
      </c>
      <c r="H277">
        <v>0.16</v>
      </c>
      <c r="I277" t="s">
        <v>5</v>
      </c>
      <c r="J277" t="s">
        <v>19</v>
      </c>
      <c r="K277" t="s">
        <v>25</v>
      </c>
      <c r="L277">
        <v>0.55000000000000004</v>
      </c>
      <c r="M277">
        <v>1</v>
      </c>
      <c r="N277">
        <v>32</v>
      </c>
      <c r="O277">
        <v>33</v>
      </c>
      <c r="P277" s="2">
        <v>0.1212</v>
      </c>
      <c r="Q277" s="2">
        <v>0.44779999999999998</v>
      </c>
      <c r="R277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278" spans="1:18" ht="14.25" x14ac:dyDescent="0.2">
      <c r="A278">
        <v>277</v>
      </c>
      <c r="B278" s="5">
        <v>40555</v>
      </c>
      <c r="C278">
        <v>1</v>
      </c>
      <c r="D278">
        <v>23</v>
      </c>
      <c r="E278" t="b">
        <v>0</v>
      </c>
      <c r="F278">
        <v>3</v>
      </c>
      <c r="G278">
        <v>1</v>
      </c>
      <c r="H278">
        <v>0.14000000000000001</v>
      </c>
      <c r="I278" t="s">
        <v>5</v>
      </c>
      <c r="J278" t="s">
        <v>19</v>
      </c>
      <c r="K278" t="s">
        <v>25</v>
      </c>
      <c r="L278">
        <v>0.59</v>
      </c>
      <c r="M278">
        <v>1</v>
      </c>
      <c r="N278">
        <v>19</v>
      </c>
      <c r="O278">
        <v>20</v>
      </c>
      <c r="P278" s="2">
        <v>0.1061</v>
      </c>
      <c r="Q278" s="2">
        <v>0.41789999999999999</v>
      </c>
      <c r="R278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279" spans="1:18" ht="14.25" x14ac:dyDescent="0.2">
      <c r="A279">
        <v>278</v>
      </c>
      <c r="B279" s="5">
        <v>40556</v>
      </c>
      <c r="C279">
        <v>1</v>
      </c>
      <c r="D279">
        <v>0</v>
      </c>
      <c r="E279" t="b">
        <v>0</v>
      </c>
      <c r="F279">
        <v>4</v>
      </c>
      <c r="G279">
        <v>1</v>
      </c>
      <c r="H279">
        <v>0.14000000000000001</v>
      </c>
      <c r="I279" t="s">
        <v>5</v>
      </c>
      <c r="J279" t="s">
        <v>19</v>
      </c>
      <c r="K279" t="s">
        <v>20</v>
      </c>
      <c r="L279">
        <v>0.59</v>
      </c>
      <c r="M279">
        <v>1</v>
      </c>
      <c r="N279">
        <v>6</v>
      </c>
      <c r="O279">
        <v>7</v>
      </c>
      <c r="P279" s="2">
        <v>0.1212</v>
      </c>
      <c r="Q279" s="2">
        <v>0.28360000000000002</v>
      </c>
      <c r="R279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280" spans="1:18" ht="14.25" x14ac:dyDescent="0.2">
      <c r="A280">
        <v>279</v>
      </c>
      <c r="B280" s="5">
        <v>40556</v>
      </c>
      <c r="C280">
        <v>1</v>
      </c>
      <c r="D280">
        <v>1</v>
      </c>
      <c r="E280" t="b">
        <v>0</v>
      </c>
      <c r="F280">
        <v>4</v>
      </c>
      <c r="G280">
        <v>1</v>
      </c>
      <c r="H280">
        <v>0.14000000000000001</v>
      </c>
      <c r="I280" t="s">
        <v>5</v>
      </c>
      <c r="J280" t="s">
        <v>19</v>
      </c>
      <c r="K280" t="s">
        <v>20</v>
      </c>
      <c r="L280">
        <v>0.5</v>
      </c>
      <c r="M280">
        <v>0</v>
      </c>
      <c r="N280">
        <v>2</v>
      </c>
      <c r="O280">
        <v>2</v>
      </c>
      <c r="P280" s="2">
        <v>0.1212</v>
      </c>
      <c r="Q280" s="2">
        <v>0.28360000000000002</v>
      </c>
      <c r="R280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281" spans="1:18" ht="14.25" x14ac:dyDescent="0.2">
      <c r="A281">
        <v>280</v>
      </c>
      <c r="B281" s="5">
        <v>40556</v>
      </c>
      <c r="C281">
        <v>1</v>
      </c>
      <c r="D281">
        <v>2</v>
      </c>
      <c r="E281" t="b">
        <v>0</v>
      </c>
      <c r="F281">
        <v>4</v>
      </c>
      <c r="G281">
        <v>1</v>
      </c>
      <c r="H281">
        <v>0.14000000000000001</v>
      </c>
      <c r="I281" t="s">
        <v>5</v>
      </c>
      <c r="J281" t="s">
        <v>19</v>
      </c>
      <c r="K281" t="s">
        <v>20</v>
      </c>
      <c r="L281">
        <v>0.5</v>
      </c>
      <c r="M281">
        <v>0</v>
      </c>
      <c r="N281">
        <v>2</v>
      </c>
      <c r="O281">
        <v>2</v>
      </c>
      <c r="P281" s="2">
        <v>0.1212</v>
      </c>
      <c r="Q281" s="2">
        <v>0.35820000000000002</v>
      </c>
      <c r="R281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282" spans="1:18" ht="14.25" x14ac:dyDescent="0.2">
      <c r="A282">
        <v>281</v>
      </c>
      <c r="B282" s="5">
        <v>40556</v>
      </c>
      <c r="C282">
        <v>1</v>
      </c>
      <c r="D282">
        <v>3</v>
      </c>
      <c r="E282" t="b">
        <v>0</v>
      </c>
      <c r="F282">
        <v>4</v>
      </c>
      <c r="G282">
        <v>1</v>
      </c>
      <c r="H282">
        <v>0.14000000000000001</v>
      </c>
      <c r="I282" t="s">
        <v>5</v>
      </c>
      <c r="J282" t="s">
        <v>19</v>
      </c>
      <c r="K282" t="s">
        <v>20</v>
      </c>
      <c r="L282">
        <v>0.5</v>
      </c>
      <c r="M282">
        <v>0</v>
      </c>
      <c r="N282">
        <v>3</v>
      </c>
      <c r="O282">
        <v>3</v>
      </c>
      <c r="P282" s="2">
        <v>0.1212</v>
      </c>
      <c r="Q282" s="2">
        <v>0.32840000000000003</v>
      </c>
      <c r="R282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283" spans="1:18" ht="14.25" x14ac:dyDescent="0.2">
      <c r="A283">
        <v>282</v>
      </c>
      <c r="B283" s="5">
        <v>40556</v>
      </c>
      <c r="C283">
        <v>1</v>
      </c>
      <c r="D283">
        <v>4</v>
      </c>
      <c r="E283" t="b">
        <v>0</v>
      </c>
      <c r="F283">
        <v>4</v>
      </c>
      <c r="G283">
        <v>1</v>
      </c>
      <c r="H283">
        <v>0.14000000000000001</v>
      </c>
      <c r="I283" t="s">
        <v>5</v>
      </c>
      <c r="J283" t="s">
        <v>19</v>
      </c>
      <c r="K283" t="s">
        <v>20</v>
      </c>
      <c r="L283">
        <v>0.5</v>
      </c>
      <c r="M283">
        <v>0</v>
      </c>
      <c r="N283">
        <v>4</v>
      </c>
      <c r="O283">
        <v>4</v>
      </c>
      <c r="P283" s="2">
        <v>0.1212</v>
      </c>
      <c r="Q283" s="2">
        <v>0.25369999999999998</v>
      </c>
      <c r="R283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284" spans="1:18" ht="14.25" x14ac:dyDescent="0.2">
      <c r="A284">
        <v>283</v>
      </c>
      <c r="B284" s="5">
        <v>40556</v>
      </c>
      <c r="C284">
        <v>1</v>
      </c>
      <c r="D284">
        <v>5</v>
      </c>
      <c r="E284" t="b">
        <v>0</v>
      </c>
      <c r="F284">
        <v>4</v>
      </c>
      <c r="G284">
        <v>1</v>
      </c>
      <c r="H284">
        <v>0.14000000000000001</v>
      </c>
      <c r="I284" t="s">
        <v>5</v>
      </c>
      <c r="J284" t="s">
        <v>19</v>
      </c>
      <c r="K284" t="s">
        <v>20</v>
      </c>
      <c r="L284">
        <v>0.5</v>
      </c>
      <c r="M284">
        <v>0</v>
      </c>
      <c r="N284">
        <v>3</v>
      </c>
      <c r="O284">
        <v>3</v>
      </c>
      <c r="P284" s="2">
        <v>0.1212</v>
      </c>
      <c r="Q284" s="2">
        <v>0.29849999999999999</v>
      </c>
      <c r="R284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285" spans="1:18" ht="14.25" x14ac:dyDescent="0.2">
      <c r="A285">
        <v>284</v>
      </c>
      <c r="B285" s="5">
        <v>40556</v>
      </c>
      <c r="C285">
        <v>1</v>
      </c>
      <c r="D285">
        <v>6</v>
      </c>
      <c r="E285" t="b">
        <v>0</v>
      </c>
      <c r="F285">
        <v>4</v>
      </c>
      <c r="G285">
        <v>1</v>
      </c>
      <c r="H285">
        <v>0.12</v>
      </c>
      <c r="I285" t="s">
        <v>5</v>
      </c>
      <c r="J285" t="s">
        <v>19</v>
      </c>
      <c r="K285" t="s">
        <v>20</v>
      </c>
      <c r="L285">
        <v>0.54</v>
      </c>
      <c r="M285">
        <v>0</v>
      </c>
      <c r="N285">
        <v>28</v>
      </c>
      <c r="O285">
        <v>28</v>
      </c>
      <c r="P285" s="2">
        <v>0.1515</v>
      </c>
      <c r="Q285" s="2">
        <v>0.1343</v>
      </c>
      <c r="R285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286" spans="1:18" ht="14.25" x14ac:dyDescent="0.2">
      <c r="A286">
        <v>285</v>
      </c>
      <c r="B286" s="5">
        <v>40556</v>
      </c>
      <c r="C286">
        <v>1</v>
      </c>
      <c r="D286">
        <v>7</v>
      </c>
      <c r="E286" t="b">
        <v>0</v>
      </c>
      <c r="F286">
        <v>4</v>
      </c>
      <c r="G286">
        <v>1</v>
      </c>
      <c r="H286">
        <v>0.12</v>
      </c>
      <c r="I286" t="s">
        <v>5</v>
      </c>
      <c r="J286" t="s">
        <v>19</v>
      </c>
      <c r="K286" t="s">
        <v>20</v>
      </c>
      <c r="L286">
        <v>0.54</v>
      </c>
      <c r="M286">
        <v>0</v>
      </c>
      <c r="N286">
        <v>72</v>
      </c>
      <c r="O286">
        <v>72</v>
      </c>
      <c r="P286" s="2">
        <v>0.1515</v>
      </c>
      <c r="Q286" s="2">
        <v>0.1343</v>
      </c>
      <c r="R286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287" spans="1:18" ht="14.25" x14ac:dyDescent="0.2">
      <c r="A287">
        <v>286</v>
      </c>
      <c r="B287" s="5">
        <v>40556</v>
      </c>
      <c r="C287">
        <v>1</v>
      </c>
      <c r="D287">
        <v>8</v>
      </c>
      <c r="E287" t="b">
        <v>0</v>
      </c>
      <c r="F287">
        <v>4</v>
      </c>
      <c r="G287">
        <v>1</v>
      </c>
      <c r="H287">
        <v>0.14000000000000001</v>
      </c>
      <c r="I287" t="s">
        <v>5</v>
      </c>
      <c r="J287" t="s">
        <v>19</v>
      </c>
      <c r="K287" t="s">
        <v>20</v>
      </c>
      <c r="L287">
        <v>0.5</v>
      </c>
      <c r="M287">
        <v>5</v>
      </c>
      <c r="N287">
        <v>197</v>
      </c>
      <c r="O287">
        <v>202</v>
      </c>
      <c r="P287" s="2">
        <v>0.13639999999999999</v>
      </c>
      <c r="Q287" s="2">
        <v>0.19400000000000001</v>
      </c>
      <c r="R287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288" spans="1:18" ht="14.25" x14ac:dyDescent="0.2">
      <c r="A288">
        <v>287</v>
      </c>
      <c r="B288" s="5">
        <v>40556</v>
      </c>
      <c r="C288">
        <v>1</v>
      </c>
      <c r="D288">
        <v>9</v>
      </c>
      <c r="E288" t="b">
        <v>0</v>
      </c>
      <c r="F288">
        <v>4</v>
      </c>
      <c r="G288">
        <v>1</v>
      </c>
      <c r="H288">
        <v>0.14000000000000001</v>
      </c>
      <c r="I288" t="s">
        <v>5</v>
      </c>
      <c r="J288" t="s">
        <v>19</v>
      </c>
      <c r="K288" t="s">
        <v>20</v>
      </c>
      <c r="L288">
        <v>0.5</v>
      </c>
      <c r="M288">
        <v>2</v>
      </c>
      <c r="N288">
        <v>137</v>
      </c>
      <c r="O288">
        <v>139</v>
      </c>
      <c r="P288" s="2">
        <v>0.1212</v>
      </c>
      <c r="Q288" s="2">
        <v>0.32840000000000003</v>
      </c>
      <c r="R288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289" spans="1:18" ht="14.25" x14ac:dyDescent="0.2">
      <c r="A289">
        <v>288</v>
      </c>
      <c r="B289" s="5">
        <v>40556</v>
      </c>
      <c r="C289">
        <v>1</v>
      </c>
      <c r="D289">
        <v>10</v>
      </c>
      <c r="E289" t="b">
        <v>0</v>
      </c>
      <c r="F289">
        <v>4</v>
      </c>
      <c r="G289">
        <v>2</v>
      </c>
      <c r="H289">
        <v>0.16</v>
      </c>
      <c r="I289" t="s">
        <v>5</v>
      </c>
      <c r="J289" t="s">
        <v>21</v>
      </c>
      <c r="K289" t="s">
        <v>20</v>
      </c>
      <c r="L289">
        <v>0.5</v>
      </c>
      <c r="M289">
        <v>2</v>
      </c>
      <c r="N289">
        <v>36</v>
      </c>
      <c r="O289">
        <v>38</v>
      </c>
      <c r="P289" s="2">
        <v>0.13639999999999999</v>
      </c>
      <c r="Q289" s="2">
        <v>0.35820000000000002</v>
      </c>
      <c r="R289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290" spans="1:18" ht="14.25" x14ac:dyDescent="0.2">
      <c r="A290">
        <v>289</v>
      </c>
      <c r="B290" s="5">
        <v>40556</v>
      </c>
      <c r="C290">
        <v>1</v>
      </c>
      <c r="D290">
        <v>11</v>
      </c>
      <c r="E290" t="b">
        <v>0</v>
      </c>
      <c r="F290">
        <v>4</v>
      </c>
      <c r="G290">
        <v>2</v>
      </c>
      <c r="H290">
        <v>0.2</v>
      </c>
      <c r="I290" t="s">
        <v>5</v>
      </c>
      <c r="J290" t="s">
        <v>21</v>
      </c>
      <c r="K290" t="s">
        <v>20</v>
      </c>
      <c r="L290">
        <v>0.44</v>
      </c>
      <c r="M290">
        <v>4</v>
      </c>
      <c r="N290">
        <v>33</v>
      </c>
      <c r="O290">
        <v>37</v>
      </c>
      <c r="P290" s="2">
        <v>0.16669999999999999</v>
      </c>
      <c r="Q290" s="2">
        <v>0.44779999999999998</v>
      </c>
      <c r="R290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291" spans="1:18" ht="14.25" x14ac:dyDescent="0.2">
      <c r="A291">
        <v>290</v>
      </c>
      <c r="B291" s="5">
        <v>40556</v>
      </c>
      <c r="C291">
        <v>1</v>
      </c>
      <c r="D291">
        <v>12</v>
      </c>
      <c r="E291" t="b">
        <v>0</v>
      </c>
      <c r="F291">
        <v>4</v>
      </c>
      <c r="G291">
        <v>1</v>
      </c>
      <c r="H291">
        <v>0.2</v>
      </c>
      <c r="I291" t="s">
        <v>5</v>
      </c>
      <c r="J291" t="s">
        <v>19</v>
      </c>
      <c r="K291" t="s">
        <v>22</v>
      </c>
      <c r="L291">
        <v>0.44</v>
      </c>
      <c r="M291">
        <v>3</v>
      </c>
      <c r="N291">
        <v>49</v>
      </c>
      <c r="O291">
        <v>52</v>
      </c>
      <c r="P291" s="2">
        <v>0.16669999999999999</v>
      </c>
      <c r="Q291" s="2">
        <v>0.41789999999999999</v>
      </c>
      <c r="R291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292" spans="1:18" ht="14.25" x14ac:dyDescent="0.2">
      <c r="A292">
        <v>291</v>
      </c>
      <c r="B292" s="5">
        <v>40556</v>
      </c>
      <c r="C292">
        <v>1</v>
      </c>
      <c r="D292">
        <v>13</v>
      </c>
      <c r="E292" t="b">
        <v>0</v>
      </c>
      <c r="F292">
        <v>4</v>
      </c>
      <c r="G292">
        <v>1</v>
      </c>
      <c r="H292">
        <v>0.22</v>
      </c>
      <c r="I292" t="s">
        <v>5</v>
      </c>
      <c r="J292" t="s">
        <v>19</v>
      </c>
      <c r="K292" t="s">
        <v>22</v>
      </c>
      <c r="L292">
        <v>0.41</v>
      </c>
      <c r="M292">
        <v>2</v>
      </c>
      <c r="N292">
        <v>81</v>
      </c>
      <c r="O292">
        <v>83</v>
      </c>
      <c r="P292" s="2">
        <v>0.19700000000000001</v>
      </c>
      <c r="Q292" s="2">
        <v>0.44779999999999998</v>
      </c>
      <c r="R292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293" spans="1:18" ht="14.25" x14ac:dyDescent="0.2">
      <c r="A293">
        <v>292</v>
      </c>
      <c r="B293" s="5">
        <v>40556</v>
      </c>
      <c r="C293">
        <v>1</v>
      </c>
      <c r="D293">
        <v>14</v>
      </c>
      <c r="E293" t="b">
        <v>0</v>
      </c>
      <c r="F293">
        <v>4</v>
      </c>
      <c r="G293">
        <v>1</v>
      </c>
      <c r="H293">
        <v>0.22</v>
      </c>
      <c r="I293" t="s">
        <v>5</v>
      </c>
      <c r="J293" t="s">
        <v>19</v>
      </c>
      <c r="K293" t="s">
        <v>22</v>
      </c>
      <c r="L293">
        <v>0.41</v>
      </c>
      <c r="M293">
        <v>3</v>
      </c>
      <c r="N293">
        <v>39</v>
      </c>
      <c r="O293">
        <v>42</v>
      </c>
      <c r="P293" s="2">
        <v>0.19700000000000001</v>
      </c>
      <c r="Q293" s="2">
        <v>0.3881</v>
      </c>
      <c r="R293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294" spans="1:18" ht="14.25" x14ac:dyDescent="0.2">
      <c r="A294">
        <v>293</v>
      </c>
      <c r="B294" s="5">
        <v>40556</v>
      </c>
      <c r="C294">
        <v>1</v>
      </c>
      <c r="D294">
        <v>15</v>
      </c>
      <c r="E294" t="b">
        <v>0</v>
      </c>
      <c r="F294">
        <v>4</v>
      </c>
      <c r="G294">
        <v>1</v>
      </c>
      <c r="H294">
        <v>0.24</v>
      </c>
      <c r="I294" t="s">
        <v>5</v>
      </c>
      <c r="J294" t="s">
        <v>19</v>
      </c>
      <c r="K294" t="s">
        <v>22</v>
      </c>
      <c r="L294">
        <v>0.38</v>
      </c>
      <c r="M294">
        <v>5</v>
      </c>
      <c r="N294">
        <v>55</v>
      </c>
      <c r="O294">
        <v>60</v>
      </c>
      <c r="P294" s="2">
        <v>0.21210000000000001</v>
      </c>
      <c r="Q294" s="2">
        <v>0.29849999999999999</v>
      </c>
      <c r="R294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295" spans="1:18" ht="14.25" x14ac:dyDescent="0.2">
      <c r="A295">
        <v>294</v>
      </c>
      <c r="B295" s="5">
        <v>40556</v>
      </c>
      <c r="C295">
        <v>1</v>
      </c>
      <c r="D295">
        <v>16</v>
      </c>
      <c r="E295" t="b">
        <v>0</v>
      </c>
      <c r="F295">
        <v>4</v>
      </c>
      <c r="G295">
        <v>1</v>
      </c>
      <c r="H295">
        <v>0.24</v>
      </c>
      <c r="I295" t="s">
        <v>5</v>
      </c>
      <c r="J295" t="s">
        <v>19</v>
      </c>
      <c r="K295" t="s">
        <v>22</v>
      </c>
      <c r="L295">
        <v>0.38</v>
      </c>
      <c r="M295">
        <v>2</v>
      </c>
      <c r="N295">
        <v>76</v>
      </c>
      <c r="O295">
        <v>78</v>
      </c>
      <c r="P295" s="2">
        <v>0.21210000000000001</v>
      </c>
      <c r="Q295" s="2">
        <v>0.35820000000000002</v>
      </c>
      <c r="R295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296" spans="1:18" ht="14.25" x14ac:dyDescent="0.2">
      <c r="A296">
        <v>295</v>
      </c>
      <c r="B296" s="5">
        <v>40556</v>
      </c>
      <c r="C296">
        <v>1</v>
      </c>
      <c r="D296">
        <v>17</v>
      </c>
      <c r="E296" t="b">
        <v>0</v>
      </c>
      <c r="F296">
        <v>4</v>
      </c>
      <c r="G296">
        <v>1</v>
      </c>
      <c r="H296">
        <v>0.2</v>
      </c>
      <c r="I296" t="s">
        <v>5</v>
      </c>
      <c r="J296" t="s">
        <v>19</v>
      </c>
      <c r="K296" t="s">
        <v>23</v>
      </c>
      <c r="L296">
        <v>0.4</v>
      </c>
      <c r="M296">
        <v>4</v>
      </c>
      <c r="N296">
        <v>158</v>
      </c>
      <c r="O296">
        <v>162</v>
      </c>
      <c r="P296" s="2">
        <v>0.18179999999999999</v>
      </c>
      <c r="Q296" s="2">
        <v>0.28360000000000002</v>
      </c>
      <c r="R296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297" spans="1:18" ht="14.25" x14ac:dyDescent="0.2">
      <c r="A297">
        <v>296</v>
      </c>
      <c r="B297" s="5">
        <v>40556</v>
      </c>
      <c r="C297">
        <v>1</v>
      </c>
      <c r="D297">
        <v>18</v>
      </c>
      <c r="E297" t="b">
        <v>0</v>
      </c>
      <c r="F297">
        <v>4</v>
      </c>
      <c r="G297">
        <v>1</v>
      </c>
      <c r="H297">
        <v>0.2</v>
      </c>
      <c r="I297" t="s">
        <v>5</v>
      </c>
      <c r="J297" t="s">
        <v>19</v>
      </c>
      <c r="K297" t="s">
        <v>23</v>
      </c>
      <c r="L297">
        <v>0.4</v>
      </c>
      <c r="M297">
        <v>3</v>
      </c>
      <c r="N297">
        <v>141</v>
      </c>
      <c r="O297">
        <v>144</v>
      </c>
      <c r="P297" s="2">
        <v>0.18179999999999999</v>
      </c>
      <c r="Q297" s="2">
        <v>0.32840000000000003</v>
      </c>
      <c r="R297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298" spans="1:18" ht="14.25" x14ac:dyDescent="0.2">
      <c r="A298">
        <v>297</v>
      </c>
      <c r="B298" s="5">
        <v>40556</v>
      </c>
      <c r="C298">
        <v>1</v>
      </c>
      <c r="D298">
        <v>19</v>
      </c>
      <c r="E298" t="b">
        <v>0</v>
      </c>
      <c r="F298">
        <v>4</v>
      </c>
      <c r="G298">
        <v>1</v>
      </c>
      <c r="H298">
        <v>0.16</v>
      </c>
      <c r="I298" t="s">
        <v>5</v>
      </c>
      <c r="J298" t="s">
        <v>19</v>
      </c>
      <c r="K298" t="s">
        <v>23</v>
      </c>
      <c r="L298">
        <v>0.47</v>
      </c>
      <c r="M298">
        <v>1</v>
      </c>
      <c r="N298">
        <v>98</v>
      </c>
      <c r="O298">
        <v>99</v>
      </c>
      <c r="P298" s="2">
        <v>0.1515</v>
      </c>
      <c r="Q298" s="2">
        <v>0.25369999999999998</v>
      </c>
      <c r="R298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299" spans="1:18" ht="14.25" x14ac:dyDescent="0.2">
      <c r="A299">
        <v>298</v>
      </c>
      <c r="B299" s="5">
        <v>40556</v>
      </c>
      <c r="C299">
        <v>1</v>
      </c>
      <c r="D299">
        <v>20</v>
      </c>
      <c r="E299" t="b">
        <v>0</v>
      </c>
      <c r="F299">
        <v>4</v>
      </c>
      <c r="G299">
        <v>1</v>
      </c>
      <c r="H299">
        <v>0.16</v>
      </c>
      <c r="I299" t="s">
        <v>5</v>
      </c>
      <c r="J299" t="s">
        <v>19</v>
      </c>
      <c r="K299" t="s">
        <v>23</v>
      </c>
      <c r="L299">
        <v>0.47</v>
      </c>
      <c r="M299">
        <v>0</v>
      </c>
      <c r="N299">
        <v>64</v>
      </c>
      <c r="O299">
        <v>64</v>
      </c>
      <c r="P299" s="2">
        <v>0.1515</v>
      </c>
      <c r="Q299" s="2">
        <v>0.22389999999999999</v>
      </c>
      <c r="R299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300" spans="1:18" ht="14.25" x14ac:dyDescent="0.2">
      <c r="A300">
        <v>299</v>
      </c>
      <c r="B300" s="5">
        <v>40556</v>
      </c>
      <c r="C300">
        <v>1</v>
      </c>
      <c r="D300">
        <v>21</v>
      </c>
      <c r="E300" t="b">
        <v>0</v>
      </c>
      <c r="F300">
        <v>4</v>
      </c>
      <c r="G300">
        <v>1</v>
      </c>
      <c r="H300">
        <v>0.14000000000000001</v>
      </c>
      <c r="I300" t="s">
        <v>5</v>
      </c>
      <c r="J300" t="s">
        <v>19</v>
      </c>
      <c r="K300" t="s">
        <v>25</v>
      </c>
      <c r="L300">
        <v>0.46</v>
      </c>
      <c r="M300">
        <v>0</v>
      </c>
      <c r="N300">
        <v>40</v>
      </c>
      <c r="O300">
        <v>40</v>
      </c>
      <c r="P300" s="2">
        <v>0.1212</v>
      </c>
      <c r="Q300" s="2">
        <v>0.29849999999999999</v>
      </c>
      <c r="R300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301" spans="1:18" ht="14.25" x14ac:dyDescent="0.2">
      <c r="A301">
        <v>300</v>
      </c>
      <c r="B301" s="5">
        <v>40556</v>
      </c>
      <c r="C301">
        <v>1</v>
      </c>
      <c r="D301">
        <v>22</v>
      </c>
      <c r="E301" t="b">
        <v>0</v>
      </c>
      <c r="F301">
        <v>4</v>
      </c>
      <c r="G301">
        <v>1</v>
      </c>
      <c r="H301">
        <v>0.14000000000000001</v>
      </c>
      <c r="I301" t="s">
        <v>5</v>
      </c>
      <c r="J301" t="s">
        <v>19</v>
      </c>
      <c r="K301" t="s">
        <v>25</v>
      </c>
      <c r="L301">
        <v>0.46</v>
      </c>
      <c r="M301">
        <v>0</v>
      </c>
      <c r="N301">
        <v>30</v>
      </c>
      <c r="O301">
        <v>30</v>
      </c>
      <c r="P301" s="2">
        <v>0.1212</v>
      </c>
      <c r="Q301" s="2">
        <v>0.32840000000000003</v>
      </c>
      <c r="R301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302" spans="1:18" ht="14.25" x14ac:dyDescent="0.2">
      <c r="A302">
        <v>301</v>
      </c>
      <c r="B302" s="5">
        <v>40556</v>
      </c>
      <c r="C302">
        <v>1</v>
      </c>
      <c r="D302">
        <v>23</v>
      </c>
      <c r="E302" t="b">
        <v>0</v>
      </c>
      <c r="F302">
        <v>4</v>
      </c>
      <c r="G302">
        <v>1</v>
      </c>
      <c r="H302">
        <v>0.12</v>
      </c>
      <c r="I302" t="s">
        <v>5</v>
      </c>
      <c r="J302" t="s">
        <v>19</v>
      </c>
      <c r="K302" t="s">
        <v>25</v>
      </c>
      <c r="L302">
        <v>0.5</v>
      </c>
      <c r="M302">
        <v>1</v>
      </c>
      <c r="N302">
        <v>14</v>
      </c>
      <c r="O302">
        <v>15</v>
      </c>
      <c r="P302" s="2">
        <v>0.13639999999999999</v>
      </c>
      <c r="Q302" s="2">
        <v>0.19400000000000001</v>
      </c>
      <c r="R302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303" spans="1:18" ht="14.25" x14ac:dyDescent="0.2">
      <c r="A303">
        <v>302</v>
      </c>
      <c r="B303" s="5">
        <v>40557</v>
      </c>
      <c r="C303">
        <v>1</v>
      </c>
      <c r="D303">
        <v>0</v>
      </c>
      <c r="E303" t="b">
        <v>0</v>
      </c>
      <c r="F303">
        <v>5</v>
      </c>
      <c r="G303">
        <v>1</v>
      </c>
      <c r="H303">
        <v>0.12</v>
      </c>
      <c r="I303" t="s">
        <v>5</v>
      </c>
      <c r="J303" t="s">
        <v>19</v>
      </c>
      <c r="K303" t="s">
        <v>20</v>
      </c>
      <c r="L303">
        <v>0.5</v>
      </c>
      <c r="M303">
        <v>0</v>
      </c>
      <c r="N303">
        <v>14</v>
      </c>
      <c r="O303">
        <v>14</v>
      </c>
      <c r="P303" s="2">
        <v>0.13639999999999999</v>
      </c>
      <c r="Q303" s="2">
        <v>0.19400000000000001</v>
      </c>
      <c r="R303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304" spans="1:18" ht="14.25" x14ac:dyDescent="0.2">
      <c r="A304">
        <v>303</v>
      </c>
      <c r="B304" s="5">
        <v>40557</v>
      </c>
      <c r="C304">
        <v>1</v>
      </c>
      <c r="D304">
        <v>1</v>
      </c>
      <c r="E304" t="b">
        <v>0</v>
      </c>
      <c r="F304">
        <v>5</v>
      </c>
      <c r="G304">
        <v>1</v>
      </c>
      <c r="H304">
        <v>0.1</v>
      </c>
      <c r="I304" t="s">
        <v>5</v>
      </c>
      <c r="J304" t="s">
        <v>19</v>
      </c>
      <c r="K304" t="s">
        <v>20</v>
      </c>
      <c r="L304">
        <v>0.54</v>
      </c>
      <c r="M304">
        <v>0</v>
      </c>
      <c r="N304">
        <v>5</v>
      </c>
      <c r="O304">
        <v>5</v>
      </c>
      <c r="P304" s="2">
        <v>0.1212</v>
      </c>
      <c r="Q304" s="2">
        <v>0.16420000000000001</v>
      </c>
      <c r="R304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305" spans="1:18" ht="14.25" x14ac:dyDescent="0.2">
      <c r="A305">
        <v>304</v>
      </c>
      <c r="B305" s="5">
        <v>40557</v>
      </c>
      <c r="C305">
        <v>1</v>
      </c>
      <c r="D305">
        <v>2</v>
      </c>
      <c r="E305" t="b">
        <v>0</v>
      </c>
      <c r="F305">
        <v>5</v>
      </c>
      <c r="G305">
        <v>1</v>
      </c>
      <c r="H305">
        <v>0.1</v>
      </c>
      <c r="I305" t="s">
        <v>5</v>
      </c>
      <c r="J305" t="s">
        <v>19</v>
      </c>
      <c r="K305" t="s">
        <v>20</v>
      </c>
      <c r="L305">
        <v>0.54</v>
      </c>
      <c r="M305">
        <v>0</v>
      </c>
      <c r="N305">
        <v>1</v>
      </c>
      <c r="O305">
        <v>1</v>
      </c>
      <c r="P305" s="2">
        <v>0.1212</v>
      </c>
      <c r="Q305" s="2">
        <v>0.1343</v>
      </c>
      <c r="R305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306" spans="1:18" ht="14.25" x14ac:dyDescent="0.2">
      <c r="A306">
        <v>305</v>
      </c>
      <c r="B306" s="5">
        <v>40557</v>
      </c>
      <c r="C306">
        <v>1</v>
      </c>
      <c r="D306">
        <v>3</v>
      </c>
      <c r="E306" t="b">
        <v>0</v>
      </c>
      <c r="F306">
        <v>5</v>
      </c>
      <c r="G306">
        <v>1</v>
      </c>
      <c r="H306">
        <v>0.1</v>
      </c>
      <c r="I306" t="s">
        <v>5</v>
      </c>
      <c r="J306" t="s">
        <v>19</v>
      </c>
      <c r="K306" t="s">
        <v>20</v>
      </c>
      <c r="L306">
        <v>0.54</v>
      </c>
      <c r="M306">
        <v>0</v>
      </c>
      <c r="N306">
        <v>1</v>
      </c>
      <c r="O306">
        <v>1</v>
      </c>
      <c r="P306" s="2">
        <v>0.13639999999999999</v>
      </c>
      <c r="Q306" s="2">
        <v>0.1045</v>
      </c>
      <c r="R306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307" spans="1:18" ht="14.25" x14ac:dyDescent="0.2">
      <c r="A307">
        <v>306</v>
      </c>
      <c r="B307" s="5">
        <v>40557</v>
      </c>
      <c r="C307">
        <v>1</v>
      </c>
      <c r="D307">
        <v>5</v>
      </c>
      <c r="E307" t="b">
        <v>0</v>
      </c>
      <c r="F307">
        <v>5</v>
      </c>
      <c r="G307">
        <v>1</v>
      </c>
      <c r="H307">
        <v>0.1</v>
      </c>
      <c r="I307" t="s">
        <v>5</v>
      </c>
      <c r="J307" t="s">
        <v>19</v>
      </c>
      <c r="K307" t="s">
        <v>20</v>
      </c>
      <c r="L307">
        <v>0.54</v>
      </c>
      <c r="M307">
        <v>0</v>
      </c>
      <c r="N307">
        <v>8</v>
      </c>
      <c r="O307">
        <v>8</v>
      </c>
      <c r="P307" s="2">
        <v>0.13639999999999999</v>
      </c>
      <c r="Q307" s="2">
        <v>8.9599999999999999E-2</v>
      </c>
      <c r="R307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308" spans="1:18" ht="14.25" x14ac:dyDescent="0.2">
      <c r="A308">
        <v>307</v>
      </c>
      <c r="B308" s="5">
        <v>40557</v>
      </c>
      <c r="C308">
        <v>1</v>
      </c>
      <c r="D308">
        <v>6</v>
      </c>
      <c r="E308" t="b">
        <v>0</v>
      </c>
      <c r="F308">
        <v>5</v>
      </c>
      <c r="G308">
        <v>1</v>
      </c>
      <c r="H308">
        <v>0.1</v>
      </c>
      <c r="I308" t="s">
        <v>5</v>
      </c>
      <c r="J308" t="s">
        <v>19</v>
      </c>
      <c r="K308" t="s">
        <v>20</v>
      </c>
      <c r="L308">
        <v>0.54</v>
      </c>
      <c r="M308">
        <v>0</v>
      </c>
      <c r="N308">
        <v>17</v>
      </c>
      <c r="O308">
        <v>17</v>
      </c>
      <c r="P308" s="2">
        <v>0.18179999999999999</v>
      </c>
      <c r="Q308" s="2">
        <v>0</v>
      </c>
      <c r="R308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309" spans="1:18" ht="14.25" x14ac:dyDescent="0.2">
      <c r="A309">
        <v>308</v>
      </c>
      <c r="B309" s="5">
        <v>40557</v>
      </c>
      <c r="C309">
        <v>1</v>
      </c>
      <c r="D309">
        <v>7</v>
      </c>
      <c r="E309" t="b">
        <v>0</v>
      </c>
      <c r="F309">
        <v>5</v>
      </c>
      <c r="G309">
        <v>1</v>
      </c>
      <c r="H309">
        <v>0.1</v>
      </c>
      <c r="I309" t="s">
        <v>5</v>
      </c>
      <c r="J309" t="s">
        <v>19</v>
      </c>
      <c r="K309" t="s">
        <v>20</v>
      </c>
      <c r="L309">
        <v>0.74</v>
      </c>
      <c r="M309">
        <v>0</v>
      </c>
      <c r="N309">
        <v>70</v>
      </c>
      <c r="O309">
        <v>70</v>
      </c>
      <c r="P309" s="2">
        <v>0.1212</v>
      </c>
      <c r="Q309" s="2">
        <v>0.16420000000000001</v>
      </c>
      <c r="R309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310" spans="1:18" ht="14.25" x14ac:dyDescent="0.2">
      <c r="A310">
        <v>309</v>
      </c>
      <c r="B310" s="5">
        <v>40557</v>
      </c>
      <c r="C310">
        <v>1</v>
      </c>
      <c r="D310">
        <v>8</v>
      </c>
      <c r="E310" t="b">
        <v>0</v>
      </c>
      <c r="F310">
        <v>5</v>
      </c>
      <c r="G310">
        <v>1</v>
      </c>
      <c r="H310">
        <v>0.12</v>
      </c>
      <c r="I310" t="s">
        <v>5</v>
      </c>
      <c r="J310" t="s">
        <v>19</v>
      </c>
      <c r="K310" t="s">
        <v>20</v>
      </c>
      <c r="L310">
        <v>0.68</v>
      </c>
      <c r="M310">
        <v>2</v>
      </c>
      <c r="N310">
        <v>156</v>
      </c>
      <c r="O310">
        <v>158</v>
      </c>
      <c r="P310" s="2">
        <v>0.16669999999999999</v>
      </c>
      <c r="Q310" s="2">
        <v>0</v>
      </c>
      <c r="R310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311" spans="1:18" ht="14.25" x14ac:dyDescent="0.2">
      <c r="A311">
        <v>310</v>
      </c>
      <c r="B311" s="5">
        <v>40557</v>
      </c>
      <c r="C311">
        <v>1</v>
      </c>
      <c r="D311">
        <v>9</v>
      </c>
      <c r="E311" t="b">
        <v>0</v>
      </c>
      <c r="F311">
        <v>5</v>
      </c>
      <c r="G311">
        <v>1</v>
      </c>
      <c r="H311">
        <v>0.14000000000000001</v>
      </c>
      <c r="I311" t="s">
        <v>5</v>
      </c>
      <c r="J311" t="s">
        <v>19</v>
      </c>
      <c r="K311" t="s">
        <v>20</v>
      </c>
      <c r="L311">
        <v>0.69</v>
      </c>
      <c r="M311">
        <v>0</v>
      </c>
      <c r="N311">
        <v>117</v>
      </c>
      <c r="O311">
        <v>117</v>
      </c>
      <c r="P311" s="2">
        <v>0.1515</v>
      </c>
      <c r="Q311" s="2">
        <v>0.1343</v>
      </c>
      <c r="R311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312" spans="1:18" ht="14.25" x14ac:dyDescent="0.2">
      <c r="A312">
        <v>311</v>
      </c>
      <c r="B312" s="5">
        <v>40557</v>
      </c>
      <c r="C312">
        <v>1</v>
      </c>
      <c r="D312">
        <v>10</v>
      </c>
      <c r="E312" t="b">
        <v>0</v>
      </c>
      <c r="F312">
        <v>5</v>
      </c>
      <c r="G312">
        <v>1</v>
      </c>
      <c r="H312">
        <v>0.18</v>
      </c>
      <c r="I312" t="s">
        <v>5</v>
      </c>
      <c r="J312" t="s">
        <v>19</v>
      </c>
      <c r="K312" t="s">
        <v>20</v>
      </c>
      <c r="L312">
        <v>0.55000000000000004</v>
      </c>
      <c r="M312">
        <v>4</v>
      </c>
      <c r="N312">
        <v>40</v>
      </c>
      <c r="O312">
        <v>44</v>
      </c>
      <c r="P312" s="2">
        <v>0.18179999999999999</v>
      </c>
      <c r="Q312" s="2">
        <v>0.19400000000000001</v>
      </c>
      <c r="R312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313" spans="1:18" ht="14.25" x14ac:dyDescent="0.2">
      <c r="A313">
        <v>312</v>
      </c>
      <c r="B313" s="5">
        <v>40557</v>
      </c>
      <c r="C313">
        <v>1</v>
      </c>
      <c r="D313">
        <v>11</v>
      </c>
      <c r="E313" t="b">
        <v>0</v>
      </c>
      <c r="F313">
        <v>5</v>
      </c>
      <c r="G313">
        <v>1</v>
      </c>
      <c r="H313">
        <v>0.18</v>
      </c>
      <c r="I313" t="s">
        <v>5</v>
      </c>
      <c r="J313" t="s">
        <v>19</v>
      </c>
      <c r="K313" t="s">
        <v>20</v>
      </c>
      <c r="L313">
        <v>0.51</v>
      </c>
      <c r="M313">
        <v>6</v>
      </c>
      <c r="N313">
        <v>47</v>
      </c>
      <c r="O313">
        <v>53</v>
      </c>
      <c r="P313" s="2">
        <v>0.16669999999999999</v>
      </c>
      <c r="Q313" s="2">
        <v>0.28360000000000002</v>
      </c>
      <c r="R313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314" spans="1:18" ht="14.25" x14ac:dyDescent="0.2">
      <c r="A314">
        <v>313</v>
      </c>
      <c r="B314" s="5">
        <v>40557</v>
      </c>
      <c r="C314">
        <v>1</v>
      </c>
      <c r="D314">
        <v>12</v>
      </c>
      <c r="E314" t="b">
        <v>0</v>
      </c>
      <c r="F314">
        <v>5</v>
      </c>
      <c r="G314">
        <v>1</v>
      </c>
      <c r="H314">
        <v>0.2</v>
      </c>
      <c r="I314" t="s">
        <v>5</v>
      </c>
      <c r="J314" t="s">
        <v>19</v>
      </c>
      <c r="K314" t="s">
        <v>22</v>
      </c>
      <c r="L314">
        <v>0.44</v>
      </c>
      <c r="M314">
        <v>2</v>
      </c>
      <c r="N314">
        <v>59</v>
      </c>
      <c r="O314">
        <v>61</v>
      </c>
      <c r="P314" s="2">
        <v>0.19700000000000001</v>
      </c>
      <c r="Q314" s="2">
        <v>0.25369999999999998</v>
      </c>
      <c r="R314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315" spans="1:18" ht="14.25" x14ac:dyDescent="0.2">
      <c r="A315">
        <v>314</v>
      </c>
      <c r="B315" s="5">
        <v>40557</v>
      </c>
      <c r="C315">
        <v>1</v>
      </c>
      <c r="D315">
        <v>13</v>
      </c>
      <c r="E315" t="b">
        <v>0</v>
      </c>
      <c r="F315">
        <v>5</v>
      </c>
      <c r="G315">
        <v>1</v>
      </c>
      <c r="H315">
        <v>0.22</v>
      </c>
      <c r="I315" t="s">
        <v>5</v>
      </c>
      <c r="J315" t="s">
        <v>19</v>
      </c>
      <c r="K315" t="s">
        <v>22</v>
      </c>
      <c r="L315">
        <v>0.37</v>
      </c>
      <c r="M315">
        <v>4</v>
      </c>
      <c r="N315">
        <v>73</v>
      </c>
      <c r="O315">
        <v>77</v>
      </c>
      <c r="P315" s="2">
        <v>0.19700000000000001</v>
      </c>
      <c r="Q315" s="2">
        <v>0.3881</v>
      </c>
      <c r="R315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316" spans="1:18" ht="14.25" x14ac:dyDescent="0.2">
      <c r="A316">
        <v>315</v>
      </c>
      <c r="B316" s="5">
        <v>40557</v>
      </c>
      <c r="C316">
        <v>1</v>
      </c>
      <c r="D316">
        <v>14</v>
      </c>
      <c r="E316" t="b">
        <v>0</v>
      </c>
      <c r="F316">
        <v>5</v>
      </c>
      <c r="G316">
        <v>1</v>
      </c>
      <c r="H316">
        <v>0.22</v>
      </c>
      <c r="I316" t="s">
        <v>5</v>
      </c>
      <c r="J316" t="s">
        <v>19</v>
      </c>
      <c r="K316" t="s">
        <v>22</v>
      </c>
      <c r="L316">
        <v>0.41</v>
      </c>
      <c r="M316">
        <v>5</v>
      </c>
      <c r="N316">
        <v>59</v>
      </c>
      <c r="O316">
        <v>64</v>
      </c>
      <c r="P316" s="2">
        <v>0.21210000000000001</v>
      </c>
      <c r="Q316" s="2">
        <v>0.28360000000000002</v>
      </c>
      <c r="R316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317" spans="1:18" ht="14.25" x14ac:dyDescent="0.2">
      <c r="A317">
        <v>316</v>
      </c>
      <c r="B317" s="5">
        <v>40557</v>
      </c>
      <c r="C317">
        <v>1</v>
      </c>
      <c r="D317">
        <v>15</v>
      </c>
      <c r="E317" t="b">
        <v>0</v>
      </c>
      <c r="F317">
        <v>5</v>
      </c>
      <c r="G317">
        <v>1</v>
      </c>
      <c r="H317">
        <v>0.24</v>
      </c>
      <c r="I317" t="s">
        <v>5</v>
      </c>
      <c r="J317" t="s">
        <v>19</v>
      </c>
      <c r="K317" t="s">
        <v>22</v>
      </c>
      <c r="L317">
        <v>0.38</v>
      </c>
      <c r="M317">
        <v>9</v>
      </c>
      <c r="N317">
        <v>59</v>
      </c>
      <c r="O317">
        <v>68</v>
      </c>
      <c r="P317" s="2">
        <v>0.2424</v>
      </c>
      <c r="Q317" s="2">
        <v>0.16420000000000001</v>
      </c>
      <c r="R317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318" spans="1:18" ht="14.25" x14ac:dyDescent="0.2">
      <c r="A318">
        <v>317</v>
      </c>
      <c r="B318" s="5">
        <v>40557</v>
      </c>
      <c r="C318">
        <v>1</v>
      </c>
      <c r="D318">
        <v>16</v>
      </c>
      <c r="E318" t="b">
        <v>0</v>
      </c>
      <c r="F318">
        <v>5</v>
      </c>
      <c r="G318">
        <v>1</v>
      </c>
      <c r="H318">
        <v>0.22</v>
      </c>
      <c r="I318" t="s">
        <v>5</v>
      </c>
      <c r="J318" t="s">
        <v>19</v>
      </c>
      <c r="K318" t="s">
        <v>22</v>
      </c>
      <c r="L318">
        <v>0.41</v>
      </c>
      <c r="M318">
        <v>3</v>
      </c>
      <c r="N318">
        <v>87</v>
      </c>
      <c r="O318">
        <v>90</v>
      </c>
      <c r="P318" s="2">
        <v>0.2424</v>
      </c>
      <c r="Q318" s="2">
        <v>0.1045</v>
      </c>
      <c r="R318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319" spans="1:18" ht="14.25" x14ac:dyDescent="0.2">
      <c r="A319">
        <v>318</v>
      </c>
      <c r="B319" s="5">
        <v>40557</v>
      </c>
      <c r="C319">
        <v>1</v>
      </c>
      <c r="D319">
        <v>17</v>
      </c>
      <c r="E319" t="b">
        <v>0</v>
      </c>
      <c r="F319">
        <v>5</v>
      </c>
      <c r="G319">
        <v>1</v>
      </c>
      <c r="H319">
        <v>0.22</v>
      </c>
      <c r="I319" t="s">
        <v>5</v>
      </c>
      <c r="J319" t="s">
        <v>19</v>
      </c>
      <c r="K319" t="s">
        <v>23</v>
      </c>
      <c r="L319">
        <v>0.41</v>
      </c>
      <c r="M319">
        <v>4</v>
      </c>
      <c r="N319">
        <v>155</v>
      </c>
      <c r="O319">
        <v>159</v>
      </c>
      <c r="P319" s="2">
        <v>0.2273</v>
      </c>
      <c r="Q319" s="2">
        <v>0.16420000000000001</v>
      </c>
      <c r="R319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320" spans="1:18" ht="14.25" x14ac:dyDescent="0.2">
      <c r="A320">
        <v>319</v>
      </c>
      <c r="B320" s="5">
        <v>40557</v>
      </c>
      <c r="C320">
        <v>1</v>
      </c>
      <c r="D320">
        <v>18</v>
      </c>
      <c r="E320" t="b">
        <v>0</v>
      </c>
      <c r="F320">
        <v>5</v>
      </c>
      <c r="G320">
        <v>1</v>
      </c>
      <c r="H320">
        <v>0.2</v>
      </c>
      <c r="I320" t="s">
        <v>5</v>
      </c>
      <c r="J320" t="s">
        <v>19</v>
      </c>
      <c r="K320" t="s">
        <v>23</v>
      </c>
      <c r="L320">
        <v>0.47</v>
      </c>
      <c r="M320">
        <v>5</v>
      </c>
      <c r="N320">
        <v>134</v>
      </c>
      <c r="O320">
        <v>139</v>
      </c>
      <c r="P320" s="2">
        <v>0.2576</v>
      </c>
      <c r="Q320" s="2">
        <v>0</v>
      </c>
      <c r="R320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321" spans="1:18" ht="14.25" x14ac:dyDescent="0.2">
      <c r="A321">
        <v>320</v>
      </c>
      <c r="B321" s="5">
        <v>40557</v>
      </c>
      <c r="C321">
        <v>1</v>
      </c>
      <c r="D321">
        <v>19</v>
      </c>
      <c r="E321" t="b">
        <v>0</v>
      </c>
      <c r="F321">
        <v>5</v>
      </c>
      <c r="G321">
        <v>1</v>
      </c>
      <c r="H321">
        <v>0.16</v>
      </c>
      <c r="I321" t="s">
        <v>5</v>
      </c>
      <c r="J321" t="s">
        <v>19</v>
      </c>
      <c r="K321" t="s">
        <v>23</v>
      </c>
      <c r="L321">
        <v>0.59</v>
      </c>
      <c r="M321">
        <v>3</v>
      </c>
      <c r="N321">
        <v>89</v>
      </c>
      <c r="O321">
        <v>92</v>
      </c>
      <c r="P321" s="2">
        <v>0.19700000000000001</v>
      </c>
      <c r="Q321" s="2">
        <v>8.9599999999999999E-2</v>
      </c>
      <c r="R321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322" spans="1:18" ht="14.25" x14ac:dyDescent="0.2">
      <c r="A322">
        <v>321</v>
      </c>
      <c r="B322" s="5">
        <v>40557</v>
      </c>
      <c r="C322">
        <v>1</v>
      </c>
      <c r="D322">
        <v>20</v>
      </c>
      <c r="E322" t="b">
        <v>0</v>
      </c>
      <c r="F322">
        <v>5</v>
      </c>
      <c r="G322">
        <v>1</v>
      </c>
      <c r="H322">
        <v>0.18</v>
      </c>
      <c r="I322" t="s">
        <v>5</v>
      </c>
      <c r="J322" t="s">
        <v>19</v>
      </c>
      <c r="K322" t="s">
        <v>23</v>
      </c>
      <c r="L322">
        <v>0.59</v>
      </c>
      <c r="M322">
        <v>0</v>
      </c>
      <c r="N322">
        <v>68</v>
      </c>
      <c r="O322">
        <v>68</v>
      </c>
      <c r="P322" s="2">
        <v>0.2424</v>
      </c>
      <c r="Q322" s="2">
        <v>0</v>
      </c>
      <c r="R322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323" spans="1:18" ht="14.25" x14ac:dyDescent="0.2">
      <c r="A323">
        <v>322</v>
      </c>
      <c r="B323" s="5">
        <v>40557</v>
      </c>
      <c r="C323">
        <v>1</v>
      </c>
      <c r="D323">
        <v>21</v>
      </c>
      <c r="E323" t="b">
        <v>0</v>
      </c>
      <c r="F323">
        <v>5</v>
      </c>
      <c r="G323">
        <v>1</v>
      </c>
      <c r="H323">
        <v>0.16</v>
      </c>
      <c r="I323" t="s">
        <v>5</v>
      </c>
      <c r="J323" t="s">
        <v>19</v>
      </c>
      <c r="K323" t="s">
        <v>25</v>
      </c>
      <c r="L323">
        <v>0.69</v>
      </c>
      <c r="M323">
        <v>4</v>
      </c>
      <c r="N323">
        <v>48</v>
      </c>
      <c r="O323">
        <v>52</v>
      </c>
      <c r="P323" s="2">
        <v>0.2273</v>
      </c>
      <c r="Q323" s="2">
        <v>0</v>
      </c>
      <c r="R323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324" spans="1:18" ht="14.25" x14ac:dyDescent="0.2">
      <c r="A324">
        <v>323</v>
      </c>
      <c r="B324" s="5">
        <v>40557</v>
      </c>
      <c r="C324">
        <v>1</v>
      </c>
      <c r="D324">
        <v>22</v>
      </c>
      <c r="E324" t="b">
        <v>0</v>
      </c>
      <c r="F324">
        <v>5</v>
      </c>
      <c r="G324">
        <v>2</v>
      </c>
      <c r="H324">
        <v>0.16</v>
      </c>
      <c r="I324" t="s">
        <v>5</v>
      </c>
      <c r="J324" t="s">
        <v>21</v>
      </c>
      <c r="K324" t="s">
        <v>25</v>
      </c>
      <c r="L324">
        <v>0.69</v>
      </c>
      <c r="M324">
        <v>2</v>
      </c>
      <c r="N324">
        <v>34</v>
      </c>
      <c r="O324">
        <v>36</v>
      </c>
      <c r="P324" s="2">
        <v>0.2273</v>
      </c>
      <c r="Q324" s="2">
        <v>0</v>
      </c>
      <c r="R324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325" spans="1:18" ht="14.25" x14ac:dyDescent="0.2">
      <c r="A325">
        <v>324</v>
      </c>
      <c r="B325" s="5">
        <v>40557</v>
      </c>
      <c r="C325">
        <v>1</v>
      </c>
      <c r="D325">
        <v>23</v>
      </c>
      <c r="E325" t="b">
        <v>0</v>
      </c>
      <c r="F325">
        <v>5</v>
      </c>
      <c r="G325">
        <v>2</v>
      </c>
      <c r="H325">
        <v>0.18</v>
      </c>
      <c r="I325" t="s">
        <v>5</v>
      </c>
      <c r="J325" t="s">
        <v>21</v>
      </c>
      <c r="K325" t="s">
        <v>25</v>
      </c>
      <c r="L325">
        <v>0.55000000000000004</v>
      </c>
      <c r="M325">
        <v>1</v>
      </c>
      <c r="N325">
        <v>26</v>
      </c>
      <c r="O325">
        <v>27</v>
      </c>
      <c r="P325" s="2">
        <v>0.2424</v>
      </c>
      <c r="Q325" s="2">
        <v>0</v>
      </c>
      <c r="R325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326" spans="1:18" ht="14.25" x14ac:dyDescent="0.2">
      <c r="A326">
        <v>325</v>
      </c>
      <c r="B326" s="5">
        <v>40558</v>
      </c>
      <c r="C326">
        <v>1</v>
      </c>
      <c r="D326">
        <v>0</v>
      </c>
      <c r="E326" t="b">
        <v>0</v>
      </c>
      <c r="F326">
        <v>6</v>
      </c>
      <c r="G326">
        <v>1</v>
      </c>
      <c r="H326">
        <v>0.18</v>
      </c>
      <c r="I326" t="s">
        <v>18</v>
      </c>
      <c r="J326" t="s">
        <v>19</v>
      </c>
      <c r="K326" t="s">
        <v>20</v>
      </c>
      <c r="L326">
        <v>0.55000000000000004</v>
      </c>
      <c r="M326">
        <v>3</v>
      </c>
      <c r="N326">
        <v>25</v>
      </c>
      <c r="O326">
        <v>28</v>
      </c>
      <c r="P326" s="2">
        <v>0.2424</v>
      </c>
      <c r="Q326" s="2">
        <v>0</v>
      </c>
      <c r="R326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327" spans="1:18" ht="14.25" x14ac:dyDescent="0.2">
      <c r="A327">
        <v>326</v>
      </c>
      <c r="B327" s="5">
        <v>40558</v>
      </c>
      <c r="C327">
        <v>1</v>
      </c>
      <c r="D327">
        <v>1</v>
      </c>
      <c r="E327" t="b">
        <v>0</v>
      </c>
      <c r="F327">
        <v>6</v>
      </c>
      <c r="G327">
        <v>2</v>
      </c>
      <c r="H327">
        <v>0.16</v>
      </c>
      <c r="I327" t="s">
        <v>18</v>
      </c>
      <c r="J327" t="s">
        <v>21</v>
      </c>
      <c r="K327" t="s">
        <v>20</v>
      </c>
      <c r="L327">
        <v>0.59</v>
      </c>
      <c r="M327">
        <v>2</v>
      </c>
      <c r="N327">
        <v>18</v>
      </c>
      <c r="O327">
        <v>20</v>
      </c>
      <c r="P327" s="2">
        <v>0.19700000000000001</v>
      </c>
      <c r="Q327" s="2">
        <v>8.9599999999999999E-2</v>
      </c>
      <c r="R327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328" spans="1:18" ht="14.25" x14ac:dyDescent="0.2">
      <c r="A328">
        <v>327</v>
      </c>
      <c r="B328" s="5">
        <v>40558</v>
      </c>
      <c r="C328">
        <v>1</v>
      </c>
      <c r="D328">
        <v>2</v>
      </c>
      <c r="E328" t="b">
        <v>0</v>
      </c>
      <c r="F328">
        <v>6</v>
      </c>
      <c r="G328">
        <v>2</v>
      </c>
      <c r="H328">
        <v>0.16</v>
      </c>
      <c r="I328" t="s">
        <v>18</v>
      </c>
      <c r="J328" t="s">
        <v>21</v>
      </c>
      <c r="K328" t="s">
        <v>20</v>
      </c>
      <c r="L328">
        <v>0.59</v>
      </c>
      <c r="M328">
        <v>0</v>
      </c>
      <c r="N328">
        <v>12</v>
      </c>
      <c r="O328">
        <v>12</v>
      </c>
      <c r="P328" s="2">
        <v>0.19700000000000001</v>
      </c>
      <c r="Q328" s="2">
        <v>8.9599999999999999E-2</v>
      </c>
      <c r="R328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329" spans="1:18" ht="14.25" x14ac:dyDescent="0.2">
      <c r="A329">
        <v>328</v>
      </c>
      <c r="B329" s="5">
        <v>40558</v>
      </c>
      <c r="C329">
        <v>1</v>
      </c>
      <c r="D329">
        <v>3</v>
      </c>
      <c r="E329" t="b">
        <v>0</v>
      </c>
      <c r="F329">
        <v>6</v>
      </c>
      <c r="G329">
        <v>2</v>
      </c>
      <c r="H329">
        <v>0.16</v>
      </c>
      <c r="I329" t="s">
        <v>18</v>
      </c>
      <c r="J329" t="s">
        <v>21</v>
      </c>
      <c r="K329" t="s">
        <v>20</v>
      </c>
      <c r="L329">
        <v>0.59</v>
      </c>
      <c r="M329">
        <v>1</v>
      </c>
      <c r="N329">
        <v>7</v>
      </c>
      <c r="O329">
        <v>8</v>
      </c>
      <c r="P329" s="2">
        <v>0.2273</v>
      </c>
      <c r="Q329" s="2">
        <v>0</v>
      </c>
      <c r="R329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330" spans="1:18" ht="14.25" x14ac:dyDescent="0.2">
      <c r="A330">
        <v>329</v>
      </c>
      <c r="B330" s="5">
        <v>40558</v>
      </c>
      <c r="C330">
        <v>1</v>
      </c>
      <c r="D330">
        <v>4</v>
      </c>
      <c r="E330" t="b">
        <v>0</v>
      </c>
      <c r="F330">
        <v>6</v>
      </c>
      <c r="G330">
        <v>2</v>
      </c>
      <c r="H330">
        <v>0.16</v>
      </c>
      <c r="I330" t="s">
        <v>18</v>
      </c>
      <c r="J330" t="s">
        <v>21</v>
      </c>
      <c r="K330" t="s">
        <v>20</v>
      </c>
      <c r="L330">
        <v>0.59</v>
      </c>
      <c r="M330">
        <v>0</v>
      </c>
      <c r="N330">
        <v>5</v>
      </c>
      <c r="O330">
        <v>5</v>
      </c>
      <c r="P330" s="2">
        <v>0.2273</v>
      </c>
      <c r="Q330" s="2">
        <v>0</v>
      </c>
      <c r="R330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331" spans="1:18" ht="14.25" x14ac:dyDescent="0.2">
      <c r="A331">
        <v>330</v>
      </c>
      <c r="B331" s="5">
        <v>40558</v>
      </c>
      <c r="C331">
        <v>1</v>
      </c>
      <c r="D331">
        <v>5</v>
      </c>
      <c r="E331" t="b">
        <v>0</v>
      </c>
      <c r="F331">
        <v>6</v>
      </c>
      <c r="G331">
        <v>1</v>
      </c>
      <c r="H331">
        <v>0.16</v>
      </c>
      <c r="I331" t="s">
        <v>18</v>
      </c>
      <c r="J331" t="s">
        <v>19</v>
      </c>
      <c r="K331" t="s">
        <v>20</v>
      </c>
      <c r="L331">
        <v>0.59</v>
      </c>
      <c r="M331">
        <v>0</v>
      </c>
      <c r="N331">
        <v>1</v>
      </c>
      <c r="O331">
        <v>1</v>
      </c>
      <c r="P331" s="2">
        <v>0.2273</v>
      </c>
      <c r="Q331" s="2">
        <v>0</v>
      </c>
      <c r="R331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332" spans="1:18" ht="14.25" x14ac:dyDescent="0.2">
      <c r="A332">
        <v>331</v>
      </c>
      <c r="B332" s="5">
        <v>40558</v>
      </c>
      <c r="C332">
        <v>1</v>
      </c>
      <c r="D332">
        <v>6</v>
      </c>
      <c r="E332" t="b">
        <v>0</v>
      </c>
      <c r="F332">
        <v>6</v>
      </c>
      <c r="G332">
        <v>1</v>
      </c>
      <c r="H332">
        <v>0.14000000000000001</v>
      </c>
      <c r="I332" t="s">
        <v>18</v>
      </c>
      <c r="J332" t="s">
        <v>19</v>
      </c>
      <c r="K332" t="s">
        <v>20</v>
      </c>
      <c r="L332">
        <v>0.63</v>
      </c>
      <c r="M332">
        <v>1</v>
      </c>
      <c r="N332">
        <v>2</v>
      </c>
      <c r="O332">
        <v>3</v>
      </c>
      <c r="P332" s="2">
        <v>0.16669999999999999</v>
      </c>
      <c r="Q332" s="2">
        <v>0.1045</v>
      </c>
      <c r="R332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333" spans="1:18" ht="14.25" x14ac:dyDescent="0.2">
      <c r="A333">
        <v>332</v>
      </c>
      <c r="B333" s="5">
        <v>40558</v>
      </c>
      <c r="C333">
        <v>1</v>
      </c>
      <c r="D333">
        <v>7</v>
      </c>
      <c r="E333" t="b">
        <v>0</v>
      </c>
      <c r="F333">
        <v>6</v>
      </c>
      <c r="G333">
        <v>1</v>
      </c>
      <c r="H333">
        <v>0.14000000000000001</v>
      </c>
      <c r="I333" t="s">
        <v>18</v>
      </c>
      <c r="J333" t="s">
        <v>19</v>
      </c>
      <c r="K333" t="s">
        <v>20</v>
      </c>
      <c r="L333">
        <v>0.63</v>
      </c>
      <c r="M333">
        <v>1</v>
      </c>
      <c r="N333">
        <v>9</v>
      </c>
      <c r="O333">
        <v>10</v>
      </c>
      <c r="P333" s="2">
        <v>0.21210000000000001</v>
      </c>
      <c r="Q333" s="2">
        <v>0</v>
      </c>
      <c r="R333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334" spans="1:18" ht="14.25" x14ac:dyDescent="0.2">
      <c r="A334">
        <v>333</v>
      </c>
      <c r="B334" s="5">
        <v>40558</v>
      </c>
      <c r="C334">
        <v>1</v>
      </c>
      <c r="D334">
        <v>8</v>
      </c>
      <c r="E334" t="b">
        <v>0</v>
      </c>
      <c r="F334">
        <v>6</v>
      </c>
      <c r="G334">
        <v>1</v>
      </c>
      <c r="H334">
        <v>0.14000000000000001</v>
      </c>
      <c r="I334" t="s">
        <v>18</v>
      </c>
      <c r="J334" t="s">
        <v>19</v>
      </c>
      <c r="K334" t="s">
        <v>20</v>
      </c>
      <c r="L334">
        <v>0.63</v>
      </c>
      <c r="M334">
        <v>1</v>
      </c>
      <c r="N334">
        <v>22</v>
      </c>
      <c r="O334">
        <v>23</v>
      </c>
      <c r="P334" s="2">
        <v>0.1515</v>
      </c>
      <c r="Q334" s="2">
        <v>0.1343</v>
      </c>
      <c r="R334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335" spans="1:18" ht="14.25" x14ac:dyDescent="0.2">
      <c r="A335">
        <v>334</v>
      </c>
      <c r="B335" s="5">
        <v>40558</v>
      </c>
      <c r="C335">
        <v>1</v>
      </c>
      <c r="D335">
        <v>9</v>
      </c>
      <c r="E335" t="b">
        <v>0</v>
      </c>
      <c r="F335">
        <v>6</v>
      </c>
      <c r="G335">
        <v>1</v>
      </c>
      <c r="H335">
        <v>0.16</v>
      </c>
      <c r="I335" t="s">
        <v>18</v>
      </c>
      <c r="J335" t="s">
        <v>19</v>
      </c>
      <c r="K335" t="s">
        <v>20</v>
      </c>
      <c r="L335">
        <v>0.64</v>
      </c>
      <c r="M335">
        <v>2</v>
      </c>
      <c r="N335">
        <v>31</v>
      </c>
      <c r="O335">
        <v>33</v>
      </c>
      <c r="P335" s="2">
        <v>0.18179999999999999</v>
      </c>
      <c r="Q335" s="2">
        <v>0.1343</v>
      </c>
      <c r="R335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336" spans="1:18" ht="14.25" x14ac:dyDescent="0.2">
      <c r="A336">
        <v>335</v>
      </c>
      <c r="B336" s="5">
        <v>40558</v>
      </c>
      <c r="C336">
        <v>1</v>
      </c>
      <c r="D336">
        <v>10</v>
      </c>
      <c r="E336" t="b">
        <v>0</v>
      </c>
      <c r="F336">
        <v>6</v>
      </c>
      <c r="G336">
        <v>1</v>
      </c>
      <c r="H336">
        <v>0.18</v>
      </c>
      <c r="I336" t="s">
        <v>18</v>
      </c>
      <c r="J336" t="s">
        <v>19</v>
      </c>
      <c r="K336" t="s">
        <v>20</v>
      </c>
      <c r="L336">
        <v>0.59</v>
      </c>
      <c r="M336">
        <v>2</v>
      </c>
      <c r="N336">
        <v>57</v>
      </c>
      <c r="O336">
        <v>59</v>
      </c>
      <c r="P336" s="2">
        <v>0.19700000000000001</v>
      </c>
      <c r="Q336" s="2">
        <v>0.16420000000000001</v>
      </c>
      <c r="R336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337" spans="1:18" ht="14.25" x14ac:dyDescent="0.2">
      <c r="A337">
        <v>336</v>
      </c>
      <c r="B337" s="5">
        <v>40558</v>
      </c>
      <c r="C337">
        <v>1</v>
      </c>
      <c r="D337">
        <v>11</v>
      </c>
      <c r="E337" t="b">
        <v>0</v>
      </c>
      <c r="F337">
        <v>6</v>
      </c>
      <c r="G337">
        <v>1</v>
      </c>
      <c r="H337">
        <v>0.2</v>
      </c>
      <c r="I337" t="s">
        <v>18</v>
      </c>
      <c r="J337" t="s">
        <v>19</v>
      </c>
      <c r="K337" t="s">
        <v>20</v>
      </c>
      <c r="L337">
        <v>0.55000000000000004</v>
      </c>
      <c r="M337">
        <v>18</v>
      </c>
      <c r="N337">
        <v>54</v>
      </c>
      <c r="O337">
        <v>72</v>
      </c>
      <c r="P337" s="2">
        <v>0.19700000000000001</v>
      </c>
      <c r="Q337" s="2">
        <v>0.22389999999999999</v>
      </c>
      <c r="R337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338" spans="1:18" ht="14.25" x14ac:dyDescent="0.2">
      <c r="A338">
        <v>337</v>
      </c>
      <c r="B338" s="5">
        <v>40558</v>
      </c>
      <c r="C338">
        <v>1</v>
      </c>
      <c r="D338">
        <v>12</v>
      </c>
      <c r="E338" t="b">
        <v>0</v>
      </c>
      <c r="F338">
        <v>6</v>
      </c>
      <c r="G338">
        <v>1</v>
      </c>
      <c r="H338">
        <v>0.24</v>
      </c>
      <c r="I338" t="s">
        <v>18</v>
      </c>
      <c r="J338" t="s">
        <v>19</v>
      </c>
      <c r="K338" t="s">
        <v>22</v>
      </c>
      <c r="L338">
        <v>0.48</v>
      </c>
      <c r="M338">
        <v>15</v>
      </c>
      <c r="N338">
        <v>74</v>
      </c>
      <c r="O338">
        <v>89</v>
      </c>
      <c r="P338" s="2">
        <v>0.2273</v>
      </c>
      <c r="Q338" s="2">
        <v>0.22389999999999999</v>
      </c>
      <c r="R338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339" spans="1:18" ht="14.25" x14ac:dyDescent="0.2">
      <c r="A339">
        <v>338</v>
      </c>
      <c r="B339" s="5">
        <v>40558</v>
      </c>
      <c r="C339">
        <v>1</v>
      </c>
      <c r="D339">
        <v>13</v>
      </c>
      <c r="E339" t="b">
        <v>0</v>
      </c>
      <c r="F339">
        <v>6</v>
      </c>
      <c r="G339">
        <v>1</v>
      </c>
      <c r="H339">
        <v>0.28000000000000003</v>
      </c>
      <c r="I339" t="s">
        <v>18</v>
      </c>
      <c r="J339" t="s">
        <v>19</v>
      </c>
      <c r="K339" t="s">
        <v>22</v>
      </c>
      <c r="L339">
        <v>0.38</v>
      </c>
      <c r="M339">
        <v>21</v>
      </c>
      <c r="N339">
        <v>80</v>
      </c>
      <c r="O339">
        <v>101</v>
      </c>
      <c r="P339" s="2">
        <v>0.2576</v>
      </c>
      <c r="Q339" s="2">
        <v>0.29849999999999999</v>
      </c>
      <c r="R339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340" spans="1:18" ht="14.25" x14ac:dyDescent="0.2">
      <c r="A340">
        <v>339</v>
      </c>
      <c r="B340" s="5">
        <v>40558</v>
      </c>
      <c r="C340">
        <v>1</v>
      </c>
      <c r="D340">
        <v>14</v>
      </c>
      <c r="E340" t="b">
        <v>0</v>
      </c>
      <c r="F340">
        <v>6</v>
      </c>
      <c r="G340">
        <v>1</v>
      </c>
      <c r="H340">
        <v>0.3</v>
      </c>
      <c r="I340" t="s">
        <v>18</v>
      </c>
      <c r="J340" t="s">
        <v>19</v>
      </c>
      <c r="K340" t="s">
        <v>22</v>
      </c>
      <c r="L340">
        <v>0.39</v>
      </c>
      <c r="M340">
        <v>26</v>
      </c>
      <c r="N340">
        <v>92</v>
      </c>
      <c r="O340">
        <v>118</v>
      </c>
      <c r="P340" s="2">
        <v>0.28789999999999999</v>
      </c>
      <c r="Q340" s="2">
        <v>0.28360000000000002</v>
      </c>
      <c r="R340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341" spans="1:18" ht="14.25" x14ac:dyDescent="0.2">
      <c r="A341">
        <v>340</v>
      </c>
      <c r="B341" s="5">
        <v>40558</v>
      </c>
      <c r="C341">
        <v>1</v>
      </c>
      <c r="D341">
        <v>15</v>
      </c>
      <c r="E341" t="b">
        <v>0</v>
      </c>
      <c r="F341">
        <v>6</v>
      </c>
      <c r="G341">
        <v>2</v>
      </c>
      <c r="H341">
        <v>0.32</v>
      </c>
      <c r="I341" t="s">
        <v>18</v>
      </c>
      <c r="J341" t="s">
        <v>21</v>
      </c>
      <c r="K341" t="s">
        <v>22</v>
      </c>
      <c r="L341">
        <v>0.36</v>
      </c>
      <c r="M341">
        <v>21</v>
      </c>
      <c r="N341">
        <v>108</v>
      </c>
      <c r="O341">
        <v>129</v>
      </c>
      <c r="P341" s="2">
        <v>0.31819999999999998</v>
      </c>
      <c r="Q341" s="2">
        <v>0.19400000000000001</v>
      </c>
      <c r="R341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342" spans="1:18" ht="14.25" x14ac:dyDescent="0.2">
      <c r="A342">
        <v>341</v>
      </c>
      <c r="B342" s="5">
        <v>40558</v>
      </c>
      <c r="C342">
        <v>1</v>
      </c>
      <c r="D342">
        <v>16</v>
      </c>
      <c r="E342" t="b">
        <v>0</v>
      </c>
      <c r="F342">
        <v>6</v>
      </c>
      <c r="G342">
        <v>2</v>
      </c>
      <c r="H342">
        <v>0.34</v>
      </c>
      <c r="I342" t="s">
        <v>18</v>
      </c>
      <c r="J342" t="s">
        <v>21</v>
      </c>
      <c r="K342" t="s">
        <v>22</v>
      </c>
      <c r="L342">
        <v>0.34</v>
      </c>
      <c r="M342">
        <v>33</v>
      </c>
      <c r="N342">
        <v>95</v>
      </c>
      <c r="O342">
        <v>128</v>
      </c>
      <c r="P342" s="2">
        <v>0.33329999999999999</v>
      </c>
      <c r="Q342" s="2">
        <v>0.19400000000000001</v>
      </c>
      <c r="R342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343" spans="1:18" ht="14.25" x14ac:dyDescent="0.2">
      <c r="A343">
        <v>342</v>
      </c>
      <c r="B343" s="5">
        <v>40558</v>
      </c>
      <c r="C343">
        <v>1</v>
      </c>
      <c r="D343">
        <v>17</v>
      </c>
      <c r="E343" t="b">
        <v>0</v>
      </c>
      <c r="F343">
        <v>6</v>
      </c>
      <c r="G343">
        <v>2</v>
      </c>
      <c r="H343">
        <v>0.32</v>
      </c>
      <c r="I343" t="s">
        <v>18</v>
      </c>
      <c r="J343" t="s">
        <v>21</v>
      </c>
      <c r="K343" t="s">
        <v>23</v>
      </c>
      <c r="L343">
        <v>0.36</v>
      </c>
      <c r="M343">
        <v>29</v>
      </c>
      <c r="N343">
        <v>54</v>
      </c>
      <c r="O343">
        <v>83</v>
      </c>
      <c r="P343" s="2">
        <v>0.30299999999999999</v>
      </c>
      <c r="Q343" s="2">
        <v>0.28360000000000002</v>
      </c>
      <c r="R343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344" spans="1:18" ht="14.25" x14ac:dyDescent="0.2">
      <c r="A344">
        <v>343</v>
      </c>
      <c r="B344" s="5">
        <v>40558</v>
      </c>
      <c r="C344">
        <v>1</v>
      </c>
      <c r="D344">
        <v>18</v>
      </c>
      <c r="E344" t="b">
        <v>0</v>
      </c>
      <c r="F344">
        <v>6</v>
      </c>
      <c r="G344">
        <v>2</v>
      </c>
      <c r="H344">
        <v>0.3</v>
      </c>
      <c r="I344" t="s">
        <v>18</v>
      </c>
      <c r="J344" t="s">
        <v>21</v>
      </c>
      <c r="K344" t="s">
        <v>23</v>
      </c>
      <c r="L344">
        <v>0.45</v>
      </c>
      <c r="M344">
        <v>15</v>
      </c>
      <c r="N344">
        <v>69</v>
      </c>
      <c r="O344">
        <v>84</v>
      </c>
      <c r="P344" s="2">
        <v>0.28789999999999999</v>
      </c>
      <c r="Q344" s="2">
        <v>0.25369999999999998</v>
      </c>
      <c r="R344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345" spans="1:18" ht="14.25" x14ac:dyDescent="0.2">
      <c r="A345">
        <v>344</v>
      </c>
      <c r="B345" s="5">
        <v>40558</v>
      </c>
      <c r="C345">
        <v>1</v>
      </c>
      <c r="D345">
        <v>19</v>
      </c>
      <c r="E345" t="b">
        <v>0</v>
      </c>
      <c r="F345">
        <v>6</v>
      </c>
      <c r="G345">
        <v>2</v>
      </c>
      <c r="H345">
        <v>0.32</v>
      </c>
      <c r="I345" t="s">
        <v>18</v>
      </c>
      <c r="J345" t="s">
        <v>21</v>
      </c>
      <c r="K345" t="s">
        <v>23</v>
      </c>
      <c r="L345">
        <v>0.39</v>
      </c>
      <c r="M345">
        <v>14</v>
      </c>
      <c r="N345">
        <v>60</v>
      </c>
      <c r="O345">
        <v>74</v>
      </c>
      <c r="P345" s="2">
        <v>0.30299999999999999</v>
      </c>
      <c r="Q345" s="2">
        <v>0.25369999999999998</v>
      </c>
      <c r="R345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346" spans="1:18" ht="14.25" x14ac:dyDescent="0.2">
      <c r="A346">
        <v>345</v>
      </c>
      <c r="B346" s="5">
        <v>40558</v>
      </c>
      <c r="C346">
        <v>1</v>
      </c>
      <c r="D346">
        <v>20</v>
      </c>
      <c r="E346" t="b">
        <v>0</v>
      </c>
      <c r="F346">
        <v>6</v>
      </c>
      <c r="G346">
        <v>2</v>
      </c>
      <c r="H346">
        <v>0.32</v>
      </c>
      <c r="I346" t="s">
        <v>18</v>
      </c>
      <c r="J346" t="s">
        <v>21</v>
      </c>
      <c r="K346" t="s">
        <v>23</v>
      </c>
      <c r="L346">
        <v>0.39</v>
      </c>
      <c r="M346">
        <v>6</v>
      </c>
      <c r="N346">
        <v>35</v>
      </c>
      <c r="O346">
        <v>41</v>
      </c>
      <c r="P346" s="2">
        <v>0.30299999999999999</v>
      </c>
      <c r="Q346" s="2">
        <v>0.25369999999999998</v>
      </c>
      <c r="R346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347" spans="1:18" ht="14.25" x14ac:dyDescent="0.2">
      <c r="A347">
        <v>346</v>
      </c>
      <c r="B347" s="5">
        <v>40558</v>
      </c>
      <c r="C347">
        <v>1</v>
      </c>
      <c r="D347">
        <v>21</v>
      </c>
      <c r="E347" t="b">
        <v>0</v>
      </c>
      <c r="F347">
        <v>6</v>
      </c>
      <c r="G347">
        <v>2</v>
      </c>
      <c r="H347">
        <v>0.32</v>
      </c>
      <c r="I347" t="s">
        <v>18</v>
      </c>
      <c r="J347" t="s">
        <v>21</v>
      </c>
      <c r="K347" t="s">
        <v>25</v>
      </c>
      <c r="L347">
        <v>0.39</v>
      </c>
      <c r="M347">
        <v>6</v>
      </c>
      <c r="N347">
        <v>51</v>
      </c>
      <c r="O347">
        <v>57</v>
      </c>
      <c r="P347" s="2">
        <v>0.30299999999999999</v>
      </c>
      <c r="Q347" s="2">
        <v>0.22389999999999999</v>
      </c>
      <c r="R347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348" spans="1:18" ht="14.25" x14ac:dyDescent="0.2">
      <c r="A348">
        <v>347</v>
      </c>
      <c r="B348" s="5">
        <v>40558</v>
      </c>
      <c r="C348">
        <v>1</v>
      </c>
      <c r="D348">
        <v>22</v>
      </c>
      <c r="E348" t="b">
        <v>0</v>
      </c>
      <c r="F348">
        <v>6</v>
      </c>
      <c r="G348">
        <v>2</v>
      </c>
      <c r="H348">
        <v>0.3</v>
      </c>
      <c r="I348" t="s">
        <v>18</v>
      </c>
      <c r="J348" t="s">
        <v>21</v>
      </c>
      <c r="K348" t="s">
        <v>25</v>
      </c>
      <c r="L348">
        <v>0.42</v>
      </c>
      <c r="M348">
        <v>0</v>
      </c>
      <c r="N348">
        <v>26</v>
      </c>
      <c r="O348">
        <v>26</v>
      </c>
      <c r="P348" s="2">
        <v>0.31819999999999998</v>
      </c>
      <c r="Q348" s="2">
        <v>0.1045</v>
      </c>
      <c r="R348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349" spans="1:18" ht="14.25" x14ac:dyDescent="0.2">
      <c r="A349">
        <v>348</v>
      </c>
      <c r="B349" s="5">
        <v>40558</v>
      </c>
      <c r="C349">
        <v>1</v>
      </c>
      <c r="D349">
        <v>23</v>
      </c>
      <c r="E349" t="b">
        <v>0</v>
      </c>
      <c r="F349">
        <v>6</v>
      </c>
      <c r="G349">
        <v>1</v>
      </c>
      <c r="H349">
        <v>0.3</v>
      </c>
      <c r="I349" t="s">
        <v>18</v>
      </c>
      <c r="J349" t="s">
        <v>19</v>
      </c>
      <c r="K349" t="s">
        <v>25</v>
      </c>
      <c r="L349">
        <v>0.45</v>
      </c>
      <c r="M349">
        <v>5</v>
      </c>
      <c r="N349">
        <v>39</v>
      </c>
      <c r="O349">
        <v>44</v>
      </c>
      <c r="P349" s="2">
        <v>0.28789999999999999</v>
      </c>
      <c r="Q349" s="2">
        <v>0.28360000000000002</v>
      </c>
      <c r="R349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350" spans="1:18" ht="14.25" x14ac:dyDescent="0.2">
      <c r="A350">
        <v>349</v>
      </c>
      <c r="B350" s="5">
        <v>40559</v>
      </c>
      <c r="C350">
        <v>1</v>
      </c>
      <c r="D350">
        <v>0</v>
      </c>
      <c r="E350" t="b">
        <v>0</v>
      </c>
      <c r="F350">
        <v>0</v>
      </c>
      <c r="G350">
        <v>1</v>
      </c>
      <c r="H350">
        <v>0.26</v>
      </c>
      <c r="I350" t="s">
        <v>5</v>
      </c>
      <c r="J350" t="s">
        <v>19</v>
      </c>
      <c r="K350" t="s">
        <v>20</v>
      </c>
      <c r="L350">
        <v>0.56000000000000005</v>
      </c>
      <c r="M350">
        <v>6</v>
      </c>
      <c r="N350">
        <v>33</v>
      </c>
      <c r="O350">
        <v>39</v>
      </c>
      <c r="P350" s="2">
        <v>0.30299999999999999</v>
      </c>
      <c r="Q350" s="2">
        <v>0</v>
      </c>
      <c r="R350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351" spans="1:18" ht="14.25" x14ac:dyDescent="0.2">
      <c r="A351">
        <v>350</v>
      </c>
      <c r="B351" s="5">
        <v>40559</v>
      </c>
      <c r="C351">
        <v>1</v>
      </c>
      <c r="D351">
        <v>1</v>
      </c>
      <c r="E351" t="b">
        <v>0</v>
      </c>
      <c r="F351">
        <v>0</v>
      </c>
      <c r="G351">
        <v>1</v>
      </c>
      <c r="H351">
        <v>0.26</v>
      </c>
      <c r="I351" t="s">
        <v>5</v>
      </c>
      <c r="J351" t="s">
        <v>19</v>
      </c>
      <c r="K351" t="s">
        <v>20</v>
      </c>
      <c r="L351">
        <v>0.56000000000000005</v>
      </c>
      <c r="M351">
        <v>4</v>
      </c>
      <c r="N351">
        <v>19</v>
      </c>
      <c r="O351">
        <v>23</v>
      </c>
      <c r="P351" s="2">
        <v>0.2727</v>
      </c>
      <c r="Q351" s="2">
        <v>0.1343</v>
      </c>
      <c r="R351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352" spans="1:18" ht="14.25" x14ac:dyDescent="0.2">
      <c r="A352">
        <v>351</v>
      </c>
      <c r="B352" s="5">
        <v>40559</v>
      </c>
      <c r="C352">
        <v>1</v>
      </c>
      <c r="D352">
        <v>2</v>
      </c>
      <c r="E352" t="b">
        <v>0</v>
      </c>
      <c r="F352">
        <v>0</v>
      </c>
      <c r="G352">
        <v>1</v>
      </c>
      <c r="H352">
        <v>0.26</v>
      </c>
      <c r="I352" t="s">
        <v>5</v>
      </c>
      <c r="J352" t="s">
        <v>19</v>
      </c>
      <c r="K352" t="s">
        <v>20</v>
      </c>
      <c r="L352">
        <v>0.56000000000000005</v>
      </c>
      <c r="M352">
        <v>3</v>
      </c>
      <c r="N352">
        <v>13</v>
      </c>
      <c r="O352">
        <v>16</v>
      </c>
      <c r="P352" s="2">
        <v>0.28789999999999999</v>
      </c>
      <c r="Q352" s="2">
        <v>8.9599999999999999E-2</v>
      </c>
      <c r="R352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353" spans="1:18" ht="14.25" x14ac:dyDescent="0.2">
      <c r="A353">
        <v>352</v>
      </c>
      <c r="B353" s="5">
        <v>40559</v>
      </c>
      <c r="C353">
        <v>1</v>
      </c>
      <c r="D353">
        <v>3</v>
      </c>
      <c r="E353" t="b">
        <v>0</v>
      </c>
      <c r="F353">
        <v>0</v>
      </c>
      <c r="G353">
        <v>1</v>
      </c>
      <c r="H353">
        <v>0.22</v>
      </c>
      <c r="I353" t="s">
        <v>5</v>
      </c>
      <c r="J353" t="s">
        <v>19</v>
      </c>
      <c r="K353" t="s">
        <v>20</v>
      </c>
      <c r="L353">
        <v>0.69</v>
      </c>
      <c r="M353">
        <v>9</v>
      </c>
      <c r="N353">
        <v>6</v>
      </c>
      <c r="O353">
        <v>15</v>
      </c>
      <c r="P353" s="2">
        <v>0.2727</v>
      </c>
      <c r="Q353" s="2">
        <v>0</v>
      </c>
      <c r="R353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354" spans="1:18" ht="14.25" x14ac:dyDescent="0.2">
      <c r="A354">
        <v>353</v>
      </c>
      <c r="B354" s="5">
        <v>40559</v>
      </c>
      <c r="C354">
        <v>1</v>
      </c>
      <c r="D354">
        <v>4</v>
      </c>
      <c r="E354" t="b">
        <v>0</v>
      </c>
      <c r="F354">
        <v>0</v>
      </c>
      <c r="G354">
        <v>1</v>
      </c>
      <c r="H354">
        <v>0.26</v>
      </c>
      <c r="I354" t="s">
        <v>5</v>
      </c>
      <c r="J354" t="s">
        <v>19</v>
      </c>
      <c r="K354" t="s">
        <v>20</v>
      </c>
      <c r="L354">
        <v>0.56000000000000005</v>
      </c>
      <c r="M354">
        <v>0</v>
      </c>
      <c r="N354">
        <v>1</v>
      </c>
      <c r="O354">
        <v>1</v>
      </c>
      <c r="P354" s="2">
        <v>0.2576</v>
      </c>
      <c r="Q354" s="2">
        <v>0.16420000000000001</v>
      </c>
      <c r="R354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355" spans="1:18" ht="14.25" x14ac:dyDescent="0.2">
      <c r="A355">
        <v>354</v>
      </c>
      <c r="B355" s="5">
        <v>40559</v>
      </c>
      <c r="C355">
        <v>1</v>
      </c>
      <c r="D355">
        <v>5</v>
      </c>
      <c r="E355" t="b">
        <v>0</v>
      </c>
      <c r="F355">
        <v>0</v>
      </c>
      <c r="G355">
        <v>2</v>
      </c>
      <c r="H355">
        <v>0.26</v>
      </c>
      <c r="I355" t="s">
        <v>5</v>
      </c>
      <c r="J355" t="s">
        <v>21</v>
      </c>
      <c r="K355" t="s">
        <v>20</v>
      </c>
      <c r="L355">
        <v>0.56000000000000005</v>
      </c>
      <c r="M355">
        <v>1</v>
      </c>
      <c r="N355">
        <v>1</v>
      </c>
      <c r="O355">
        <v>2</v>
      </c>
      <c r="P355" s="2">
        <v>0.2576</v>
      </c>
      <c r="Q355" s="2">
        <v>0.16420000000000001</v>
      </c>
      <c r="R355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356" spans="1:18" ht="14.25" x14ac:dyDescent="0.2">
      <c r="A356">
        <v>355</v>
      </c>
      <c r="B356" s="5">
        <v>40559</v>
      </c>
      <c r="C356">
        <v>1</v>
      </c>
      <c r="D356">
        <v>6</v>
      </c>
      <c r="E356" t="b">
        <v>0</v>
      </c>
      <c r="F356">
        <v>0</v>
      </c>
      <c r="G356">
        <v>2</v>
      </c>
      <c r="H356">
        <v>0.26</v>
      </c>
      <c r="I356" t="s">
        <v>5</v>
      </c>
      <c r="J356" t="s">
        <v>21</v>
      </c>
      <c r="K356" t="s">
        <v>20</v>
      </c>
      <c r="L356">
        <v>0.56000000000000005</v>
      </c>
      <c r="M356">
        <v>0</v>
      </c>
      <c r="N356">
        <v>1</v>
      </c>
      <c r="O356">
        <v>1</v>
      </c>
      <c r="P356" s="2">
        <v>0.2576</v>
      </c>
      <c r="Q356" s="2">
        <v>0.16420000000000001</v>
      </c>
      <c r="R356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357" spans="1:18" ht="14.25" x14ac:dyDescent="0.2">
      <c r="A357">
        <v>356</v>
      </c>
      <c r="B357" s="5">
        <v>40559</v>
      </c>
      <c r="C357">
        <v>1</v>
      </c>
      <c r="D357">
        <v>7</v>
      </c>
      <c r="E357" t="b">
        <v>0</v>
      </c>
      <c r="F357">
        <v>0</v>
      </c>
      <c r="G357">
        <v>2</v>
      </c>
      <c r="H357">
        <v>0.24</v>
      </c>
      <c r="I357" t="s">
        <v>5</v>
      </c>
      <c r="J357" t="s">
        <v>21</v>
      </c>
      <c r="K357" t="s">
        <v>20</v>
      </c>
      <c r="L357">
        <v>0.56000000000000005</v>
      </c>
      <c r="M357">
        <v>0</v>
      </c>
      <c r="N357">
        <v>3</v>
      </c>
      <c r="O357">
        <v>3</v>
      </c>
      <c r="P357" s="2">
        <v>0.21210000000000001</v>
      </c>
      <c r="Q357" s="2">
        <v>0.29849999999999999</v>
      </c>
      <c r="R357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358" spans="1:18" ht="14.25" x14ac:dyDescent="0.2">
      <c r="A358">
        <v>357</v>
      </c>
      <c r="B358" s="5">
        <v>40559</v>
      </c>
      <c r="C358">
        <v>1</v>
      </c>
      <c r="D358">
        <v>8</v>
      </c>
      <c r="E358" t="b">
        <v>0</v>
      </c>
      <c r="F358">
        <v>0</v>
      </c>
      <c r="G358">
        <v>1</v>
      </c>
      <c r="H358">
        <v>0.22</v>
      </c>
      <c r="I358" t="s">
        <v>5</v>
      </c>
      <c r="J358" t="s">
        <v>19</v>
      </c>
      <c r="K358" t="s">
        <v>20</v>
      </c>
      <c r="L358">
        <v>0.55000000000000004</v>
      </c>
      <c r="M358">
        <v>0</v>
      </c>
      <c r="N358">
        <v>18</v>
      </c>
      <c r="O358">
        <v>18</v>
      </c>
      <c r="P358" s="2">
        <v>0.21210000000000001</v>
      </c>
      <c r="Q358" s="2">
        <v>0.28360000000000002</v>
      </c>
      <c r="R358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359" spans="1:18" ht="14.25" x14ac:dyDescent="0.2">
      <c r="A359">
        <v>358</v>
      </c>
      <c r="B359" s="5">
        <v>40559</v>
      </c>
      <c r="C359">
        <v>1</v>
      </c>
      <c r="D359">
        <v>9</v>
      </c>
      <c r="E359" t="b">
        <v>0</v>
      </c>
      <c r="F359">
        <v>0</v>
      </c>
      <c r="G359">
        <v>1</v>
      </c>
      <c r="H359">
        <v>0.22</v>
      </c>
      <c r="I359" t="s">
        <v>5</v>
      </c>
      <c r="J359" t="s">
        <v>19</v>
      </c>
      <c r="K359" t="s">
        <v>20</v>
      </c>
      <c r="L359">
        <v>0.51</v>
      </c>
      <c r="M359">
        <v>3</v>
      </c>
      <c r="N359">
        <v>29</v>
      </c>
      <c r="O359">
        <v>32</v>
      </c>
      <c r="P359" s="2">
        <v>0.21210000000000001</v>
      </c>
      <c r="Q359" s="2">
        <v>0.25369999999999998</v>
      </c>
      <c r="R359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360" spans="1:18" ht="14.25" x14ac:dyDescent="0.2">
      <c r="A360">
        <v>359</v>
      </c>
      <c r="B360" s="5">
        <v>40559</v>
      </c>
      <c r="C360">
        <v>1</v>
      </c>
      <c r="D360">
        <v>10</v>
      </c>
      <c r="E360" t="b">
        <v>0</v>
      </c>
      <c r="F360">
        <v>0</v>
      </c>
      <c r="G360">
        <v>1</v>
      </c>
      <c r="H360">
        <v>0.22</v>
      </c>
      <c r="I360" t="s">
        <v>5</v>
      </c>
      <c r="J360" t="s">
        <v>19</v>
      </c>
      <c r="K360" t="s">
        <v>20</v>
      </c>
      <c r="L360">
        <v>0.51</v>
      </c>
      <c r="M360">
        <v>8</v>
      </c>
      <c r="N360">
        <v>71</v>
      </c>
      <c r="O360">
        <v>79</v>
      </c>
      <c r="P360" s="2">
        <v>0.21210000000000001</v>
      </c>
      <c r="Q360" s="2">
        <v>0.28360000000000002</v>
      </c>
      <c r="R360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361" spans="1:18" ht="14.25" x14ac:dyDescent="0.2">
      <c r="A361">
        <v>360</v>
      </c>
      <c r="B361" s="5">
        <v>40559</v>
      </c>
      <c r="C361">
        <v>1</v>
      </c>
      <c r="D361">
        <v>11</v>
      </c>
      <c r="E361" t="b">
        <v>0</v>
      </c>
      <c r="F361">
        <v>0</v>
      </c>
      <c r="G361">
        <v>1</v>
      </c>
      <c r="H361">
        <v>0.24</v>
      </c>
      <c r="I361" t="s">
        <v>5</v>
      </c>
      <c r="J361" t="s">
        <v>19</v>
      </c>
      <c r="K361" t="s">
        <v>20</v>
      </c>
      <c r="L361">
        <v>0.44</v>
      </c>
      <c r="M361">
        <v>23</v>
      </c>
      <c r="N361">
        <v>70</v>
      </c>
      <c r="O361">
        <v>93</v>
      </c>
      <c r="P361" s="2">
        <v>0.2273</v>
      </c>
      <c r="Q361" s="2">
        <v>0.25369999999999998</v>
      </c>
      <c r="R361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362" spans="1:18" ht="14.25" x14ac:dyDescent="0.2">
      <c r="A362">
        <v>361</v>
      </c>
      <c r="B362" s="5">
        <v>40559</v>
      </c>
      <c r="C362">
        <v>1</v>
      </c>
      <c r="D362">
        <v>12</v>
      </c>
      <c r="E362" t="b">
        <v>0</v>
      </c>
      <c r="F362">
        <v>0</v>
      </c>
      <c r="G362">
        <v>1</v>
      </c>
      <c r="H362">
        <v>0.24</v>
      </c>
      <c r="I362" t="s">
        <v>5</v>
      </c>
      <c r="J362" t="s">
        <v>19</v>
      </c>
      <c r="K362" t="s">
        <v>22</v>
      </c>
      <c r="L362">
        <v>0.41</v>
      </c>
      <c r="M362">
        <v>29</v>
      </c>
      <c r="N362">
        <v>75</v>
      </c>
      <c r="O362">
        <v>104</v>
      </c>
      <c r="P362" s="2">
        <v>0.21210000000000001</v>
      </c>
      <c r="Q362" s="2">
        <v>0.28360000000000002</v>
      </c>
      <c r="R362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363" spans="1:18" ht="14.25" x14ac:dyDescent="0.2">
      <c r="A363">
        <v>362</v>
      </c>
      <c r="B363" s="5">
        <v>40559</v>
      </c>
      <c r="C363">
        <v>1</v>
      </c>
      <c r="D363">
        <v>13</v>
      </c>
      <c r="E363" t="b">
        <v>0</v>
      </c>
      <c r="F363">
        <v>0</v>
      </c>
      <c r="G363">
        <v>1</v>
      </c>
      <c r="H363">
        <v>0.26</v>
      </c>
      <c r="I363" t="s">
        <v>5</v>
      </c>
      <c r="J363" t="s">
        <v>19</v>
      </c>
      <c r="K363" t="s">
        <v>22</v>
      </c>
      <c r="L363">
        <v>0.35</v>
      </c>
      <c r="M363">
        <v>23</v>
      </c>
      <c r="N363">
        <v>95</v>
      </c>
      <c r="O363">
        <v>118</v>
      </c>
      <c r="P363" s="2">
        <v>0.2273</v>
      </c>
      <c r="Q363" s="2">
        <v>0.29849999999999999</v>
      </c>
      <c r="R363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364" spans="1:18" ht="14.25" x14ac:dyDescent="0.2">
      <c r="A364">
        <v>363</v>
      </c>
      <c r="B364" s="5">
        <v>40559</v>
      </c>
      <c r="C364">
        <v>1</v>
      </c>
      <c r="D364">
        <v>14</v>
      </c>
      <c r="E364" t="b">
        <v>0</v>
      </c>
      <c r="F364">
        <v>0</v>
      </c>
      <c r="G364">
        <v>1</v>
      </c>
      <c r="H364">
        <v>0.28000000000000003</v>
      </c>
      <c r="I364" t="s">
        <v>5</v>
      </c>
      <c r="J364" t="s">
        <v>19</v>
      </c>
      <c r="K364" t="s">
        <v>22</v>
      </c>
      <c r="L364">
        <v>0.36</v>
      </c>
      <c r="M364">
        <v>22</v>
      </c>
      <c r="N364">
        <v>69</v>
      </c>
      <c r="O364">
        <v>91</v>
      </c>
      <c r="P364" s="2">
        <v>0.2727</v>
      </c>
      <c r="Q364" s="2">
        <v>0.25369999999999998</v>
      </c>
      <c r="R364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365" spans="1:18" ht="14.25" x14ac:dyDescent="0.2">
      <c r="A365">
        <v>364</v>
      </c>
      <c r="B365" s="5">
        <v>40559</v>
      </c>
      <c r="C365">
        <v>1</v>
      </c>
      <c r="D365">
        <v>15</v>
      </c>
      <c r="E365" t="b">
        <v>0</v>
      </c>
      <c r="F365">
        <v>0</v>
      </c>
      <c r="G365">
        <v>1</v>
      </c>
      <c r="H365">
        <v>0.26</v>
      </c>
      <c r="I365" t="s">
        <v>5</v>
      </c>
      <c r="J365" t="s">
        <v>19</v>
      </c>
      <c r="K365" t="s">
        <v>22</v>
      </c>
      <c r="L365">
        <v>0.38</v>
      </c>
      <c r="M365">
        <v>35</v>
      </c>
      <c r="N365">
        <v>78</v>
      </c>
      <c r="O365">
        <v>113</v>
      </c>
      <c r="P365" s="2">
        <v>0.2424</v>
      </c>
      <c r="Q365" s="2">
        <v>0.25369999999999998</v>
      </c>
      <c r="R365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366" spans="1:18" ht="14.25" x14ac:dyDescent="0.2">
      <c r="A366">
        <v>365</v>
      </c>
      <c r="B366" s="5">
        <v>40559</v>
      </c>
      <c r="C366">
        <v>1</v>
      </c>
      <c r="D366">
        <v>16</v>
      </c>
      <c r="E366" t="b">
        <v>0</v>
      </c>
      <c r="F366">
        <v>0</v>
      </c>
      <c r="G366">
        <v>1</v>
      </c>
      <c r="H366">
        <v>0.24</v>
      </c>
      <c r="I366" t="s">
        <v>5</v>
      </c>
      <c r="J366" t="s">
        <v>19</v>
      </c>
      <c r="K366" t="s">
        <v>22</v>
      </c>
      <c r="L366">
        <v>0.38</v>
      </c>
      <c r="M366">
        <v>22</v>
      </c>
      <c r="N366">
        <v>77</v>
      </c>
      <c r="O366">
        <v>99</v>
      </c>
      <c r="P366" s="2">
        <v>0.2273</v>
      </c>
      <c r="Q366" s="2">
        <v>0.22389999999999999</v>
      </c>
      <c r="R366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367" spans="1:18" ht="14.25" x14ac:dyDescent="0.2">
      <c r="A367">
        <v>366</v>
      </c>
      <c r="B367" s="5">
        <v>40559</v>
      </c>
      <c r="C367">
        <v>1</v>
      </c>
      <c r="D367">
        <v>17</v>
      </c>
      <c r="E367" t="b">
        <v>0</v>
      </c>
      <c r="F367">
        <v>0</v>
      </c>
      <c r="G367">
        <v>1</v>
      </c>
      <c r="H367">
        <v>0.22</v>
      </c>
      <c r="I367" t="s">
        <v>5</v>
      </c>
      <c r="J367" t="s">
        <v>19</v>
      </c>
      <c r="K367" t="s">
        <v>23</v>
      </c>
      <c r="L367">
        <v>0.37</v>
      </c>
      <c r="M367">
        <v>23</v>
      </c>
      <c r="N367">
        <v>82</v>
      </c>
      <c r="O367">
        <v>105</v>
      </c>
      <c r="P367" s="2">
        <v>0.21210000000000001</v>
      </c>
      <c r="Q367" s="2">
        <v>0.25369999999999998</v>
      </c>
      <c r="R367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368" spans="1:18" ht="14.25" x14ac:dyDescent="0.2">
      <c r="A368">
        <v>367</v>
      </c>
      <c r="B368" s="5">
        <v>40559</v>
      </c>
      <c r="C368">
        <v>1</v>
      </c>
      <c r="D368">
        <v>18</v>
      </c>
      <c r="E368" t="b">
        <v>0</v>
      </c>
      <c r="F368">
        <v>0</v>
      </c>
      <c r="G368">
        <v>1</v>
      </c>
      <c r="H368">
        <v>0.2</v>
      </c>
      <c r="I368" t="s">
        <v>5</v>
      </c>
      <c r="J368" t="s">
        <v>19</v>
      </c>
      <c r="K368" t="s">
        <v>23</v>
      </c>
      <c r="L368">
        <v>0.4</v>
      </c>
      <c r="M368">
        <v>11</v>
      </c>
      <c r="N368">
        <v>56</v>
      </c>
      <c r="O368">
        <v>67</v>
      </c>
      <c r="P368" s="2">
        <v>0.21210000000000001</v>
      </c>
      <c r="Q368" s="2">
        <v>0.16420000000000001</v>
      </c>
      <c r="R368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369" spans="1:18" ht="14.25" x14ac:dyDescent="0.2">
      <c r="A369">
        <v>368</v>
      </c>
      <c r="B369" s="5">
        <v>40559</v>
      </c>
      <c r="C369">
        <v>1</v>
      </c>
      <c r="D369">
        <v>19</v>
      </c>
      <c r="E369" t="b">
        <v>0</v>
      </c>
      <c r="F369">
        <v>0</v>
      </c>
      <c r="G369">
        <v>1</v>
      </c>
      <c r="H369">
        <v>0.18</v>
      </c>
      <c r="I369" t="s">
        <v>5</v>
      </c>
      <c r="J369" t="s">
        <v>19</v>
      </c>
      <c r="K369" t="s">
        <v>23</v>
      </c>
      <c r="L369">
        <v>0.47</v>
      </c>
      <c r="M369">
        <v>14</v>
      </c>
      <c r="N369">
        <v>47</v>
      </c>
      <c r="O369">
        <v>61</v>
      </c>
      <c r="P369" s="2">
        <v>0.19700000000000001</v>
      </c>
      <c r="Q369" s="2">
        <v>0.1343</v>
      </c>
      <c r="R369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370" spans="1:18" ht="14.25" x14ac:dyDescent="0.2">
      <c r="A370">
        <v>369</v>
      </c>
      <c r="B370" s="5">
        <v>40559</v>
      </c>
      <c r="C370">
        <v>1</v>
      </c>
      <c r="D370">
        <v>20</v>
      </c>
      <c r="E370" t="b">
        <v>0</v>
      </c>
      <c r="F370">
        <v>0</v>
      </c>
      <c r="G370">
        <v>1</v>
      </c>
      <c r="H370">
        <v>0.18</v>
      </c>
      <c r="I370" t="s">
        <v>5</v>
      </c>
      <c r="J370" t="s">
        <v>19</v>
      </c>
      <c r="K370" t="s">
        <v>23</v>
      </c>
      <c r="L370">
        <v>0.47</v>
      </c>
      <c r="M370">
        <v>7</v>
      </c>
      <c r="N370">
        <v>50</v>
      </c>
      <c r="O370">
        <v>57</v>
      </c>
      <c r="P370" s="2">
        <v>0.19700000000000001</v>
      </c>
      <c r="Q370" s="2">
        <v>0.16420000000000001</v>
      </c>
      <c r="R370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371" spans="1:18" ht="14.25" x14ac:dyDescent="0.2">
      <c r="A371">
        <v>370</v>
      </c>
      <c r="B371" s="5">
        <v>40559</v>
      </c>
      <c r="C371">
        <v>1</v>
      </c>
      <c r="D371">
        <v>21</v>
      </c>
      <c r="E371" t="b">
        <v>0</v>
      </c>
      <c r="F371">
        <v>0</v>
      </c>
      <c r="G371">
        <v>1</v>
      </c>
      <c r="H371">
        <v>0.18</v>
      </c>
      <c r="I371" t="s">
        <v>5</v>
      </c>
      <c r="J371" t="s">
        <v>19</v>
      </c>
      <c r="K371" t="s">
        <v>25</v>
      </c>
      <c r="L371">
        <v>0.51</v>
      </c>
      <c r="M371">
        <v>6</v>
      </c>
      <c r="N371">
        <v>22</v>
      </c>
      <c r="O371">
        <v>28</v>
      </c>
      <c r="P371" s="2">
        <v>0.19700000000000001</v>
      </c>
      <c r="Q371" s="2">
        <v>0.16420000000000001</v>
      </c>
      <c r="R371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372" spans="1:18" ht="14.25" x14ac:dyDescent="0.2">
      <c r="A372">
        <v>371</v>
      </c>
      <c r="B372" s="5">
        <v>40559</v>
      </c>
      <c r="C372">
        <v>1</v>
      </c>
      <c r="D372">
        <v>22</v>
      </c>
      <c r="E372" t="b">
        <v>0</v>
      </c>
      <c r="F372">
        <v>0</v>
      </c>
      <c r="G372">
        <v>2</v>
      </c>
      <c r="H372">
        <v>0.2</v>
      </c>
      <c r="I372" t="s">
        <v>5</v>
      </c>
      <c r="J372" t="s">
        <v>21</v>
      </c>
      <c r="K372" t="s">
        <v>25</v>
      </c>
      <c r="L372">
        <v>0.49</v>
      </c>
      <c r="M372">
        <v>2</v>
      </c>
      <c r="N372">
        <v>19</v>
      </c>
      <c r="O372">
        <v>21</v>
      </c>
      <c r="P372" s="2">
        <v>0.21210000000000001</v>
      </c>
      <c r="Q372" s="2">
        <v>0.1343</v>
      </c>
      <c r="R372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373" spans="1:18" ht="14.25" x14ac:dyDescent="0.2">
      <c r="A373">
        <v>372</v>
      </c>
      <c r="B373" s="5">
        <v>40559</v>
      </c>
      <c r="C373">
        <v>1</v>
      </c>
      <c r="D373">
        <v>23</v>
      </c>
      <c r="E373" t="b">
        <v>0</v>
      </c>
      <c r="F373">
        <v>0</v>
      </c>
      <c r="G373">
        <v>2</v>
      </c>
      <c r="H373">
        <v>0.2</v>
      </c>
      <c r="I373" t="s">
        <v>5</v>
      </c>
      <c r="J373" t="s">
        <v>21</v>
      </c>
      <c r="K373" t="s">
        <v>25</v>
      </c>
      <c r="L373">
        <v>0.4</v>
      </c>
      <c r="M373">
        <v>0</v>
      </c>
      <c r="N373">
        <v>18</v>
      </c>
      <c r="O373">
        <v>18</v>
      </c>
      <c r="P373" s="2">
        <v>0.2273</v>
      </c>
      <c r="Q373" s="2">
        <v>0.1045</v>
      </c>
      <c r="R373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374" spans="1:18" ht="14.25" x14ac:dyDescent="0.2">
      <c r="A374">
        <v>373</v>
      </c>
      <c r="B374" s="5">
        <v>40560</v>
      </c>
      <c r="C374">
        <v>1</v>
      </c>
      <c r="D374">
        <v>0</v>
      </c>
      <c r="E374" t="b">
        <v>1</v>
      </c>
      <c r="F374">
        <v>1</v>
      </c>
      <c r="G374">
        <v>2</v>
      </c>
      <c r="H374">
        <v>0.2</v>
      </c>
      <c r="I374" t="s">
        <v>5</v>
      </c>
      <c r="J374" t="s">
        <v>21</v>
      </c>
      <c r="K374" t="s">
        <v>20</v>
      </c>
      <c r="L374">
        <v>0.47</v>
      </c>
      <c r="M374">
        <v>1</v>
      </c>
      <c r="N374">
        <v>16</v>
      </c>
      <c r="O374">
        <v>17</v>
      </c>
      <c r="P374" s="2">
        <v>0.19700000000000001</v>
      </c>
      <c r="Q374" s="2">
        <v>0.22389999999999999</v>
      </c>
      <c r="R374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375" spans="1:18" ht="14.25" x14ac:dyDescent="0.2">
      <c r="A375">
        <v>374</v>
      </c>
      <c r="B375" s="5">
        <v>40560</v>
      </c>
      <c r="C375">
        <v>1</v>
      </c>
      <c r="D375">
        <v>1</v>
      </c>
      <c r="E375" t="b">
        <v>1</v>
      </c>
      <c r="F375">
        <v>1</v>
      </c>
      <c r="G375">
        <v>2</v>
      </c>
      <c r="H375">
        <v>0.2</v>
      </c>
      <c r="I375" t="s">
        <v>5</v>
      </c>
      <c r="J375" t="s">
        <v>21</v>
      </c>
      <c r="K375" t="s">
        <v>20</v>
      </c>
      <c r="L375">
        <v>0.44</v>
      </c>
      <c r="M375">
        <v>1</v>
      </c>
      <c r="N375">
        <v>15</v>
      </c>
      <c r="O375">
        <v>16</v>
      </c>
      <c r="P375" s="2">
        <v>0.19700000000000001</v>
      </c>
      <c r="Q375" s="2">
        <v>0.19400000000000001</v>
      </c>
      <c r="R375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376" spans="1:18" ht="14.25" x14ac:dyDescent="0.2">
      <c r="A376">
        <v>375</v>
      </c>
      <c r="B376" s="5">
        <v>40560</v>
      </c>
      <c r="C376">
        <v>1</v>
      </c>
      <c r="D376">
        <v>2</v>
      </c>
      <c r="E376" t="b">
        <v>1</v>
      </c>
      <c r="F376">
        <v>1</v>
      </c>
      <c r="G376">
        <v>2</v>
      </c>
      <c r="H376">
        <v>0.18</v>
      </c>
      <c r="I376" t="s">
        <v>5</v>
      </c>
      <c r="J376" t="s">
        <v>21</v>
      </c>
      <c r="K376" t="s">
        <v>20</v>
      </c>
      <c r="L376">
        <v>0.43</v>
      </c>
      <c r="M376">
        <v>0</v>
      </c>
      <c r="N376">
        <v>8</v>
      </c>
      <c r="O376">
        <v>8</v>
      </c>
      <c r="P376" s="2">
        <v>0.16669999999999999</v>
      </c>
      <c r="Q376" s="2">
        <v>0.25369999999999998</v>
      </c>
      <c r="R376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377" spans="1:18" ht="14.25" x14ac:dyDescent="0.2">
      <c r="A377">
        <v>376</v>
      </c>
      <c r="B377" s="5">
        <v>40560</v>
      </c>
      <c r="C377">
        <v>1</v>
      </c>
      <c r="D377">
        <v>3</v>
      </c>
      <c r="E377" t="b">
        <v>1</v>
      </c>
      <c r="F377">
        <v>1</v>
      </c>
      <c r="G377">
        <v>2</v>
      </c>
      <c r="H377">
        <v>0.18</v>
      </c>
      <c r="I377" t="s">
        <v>5</v>
      </c>
      <c r="J377" t="s">
        <v>21</v>
      </c>
      <c r="K377" t="s">
        <v>20</v>
      </c>
      <c r="L377">
        <v>0.43</v>
      </c>
      <c r="M377">
        <v>0</v>
      </c>
      <c r="N377">
        <v>2</v>
      </c>
      <c r="O377">
        <v>2</v>
      </c>
      <c r="P377" s="2">
        <v>0.18179999999999999</v>
      </c>
      <c r="Q377" s="2">
        <v>0.19400000000000001</v>
      </c>
      <c r="R377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378" spans="1:18" ht="14.25" x14ac:dyDescent="0.2">
      <c r="A378">
        <v>377</v>
      </c>
      <c r="B378" s="5">
        <v>40560</v>
      </c>
      <c r="C378">
        <v>1</v>
      </c>
      <c r="D378">
        <v>4</v>
      </c>
      <c r="E378" t="b">
        <v>1</v>
      </c>
      <c r="F378">
        <v>1</v>
      </c>
      <c r="G378">
        <v>2</v>
      </c>
      <c r="H378">
        <v>0.18</v>
      </c>
      <c r="I378" t="s">
        <v>5</v>
      </c>
      <c r="J378" t="s">
        <v>21</v>
      </c>
      <c r="K378" t="s">
        <v>20</v>
      </c>
      <c r="L378">
        <v>0.43</v>
      </c>
      <c r="M378">
        <v>1</v>
      </c>
      <c r="N378">
        <v>2</v>
      </c>
      <c r="O378">
        <v>3</v>
      </c>
      <c r="P378" s="2">
        <v>0.19700000000000001</v>
      </c>
      <c r="Q378" s="2">
        <v>0.1343</v>
      </c>
      <c r="R378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379" spans="1:18" ht="14.25" x14ac:dyDescent="0.2">
      <c r="A379">
        <v>378</v>
      </c>
      <c r="B379" s="5">
        <v>40560</v>
      </c>
      <c r="C379">
        <v>1</v>
      </c>
      <c r="D379">
        <v>5</v>
      </c>
      <c r="E379" t="b">
        <v>1</v>
      </c>
      <c r="F379">
        <v>1</v>
      </c>
      <c r="G379">
        <v>2</v>
      </c>
      <c r="H379">
        <v>0.18</v>
      </c>
      <c r="I379" t="s">
        <v>5</v>
      </c>
      <c r="J379" t="s">
        <v>21</v>
      </c>
      <c r="K379" t="s">
        <v>20</v>
      </c>
      <c r="L379">
        <v>0.43</v>
      </c>
      <c r="M379">
        <v>0</v>
      </c>
      <c r="N379">
        <v>1</v>
      </c>
      <c r="O379">
        <v>1</v>
      </c>
      <c r="P379" s="2">
        <v>0.19700000000000001</v>
      </c>
      <c r="Q379" s="2">
        <v>0.16420000000000001</v>
      </c>
      <c r="R379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380" spans="1:18" ht="14.25" x14ac:dyDescent="0.2">
      <c r="A380">
        <v>379</v>
      </c>
      <c r="B380" s="5">
        <v>40560</v>
      </c>
      <c r="C380">
        <v>1</v>
      </c>
      <c r="D380">
        <v>6</v>
      </c>
      <c r="E380" t="b">
        <v>1</v>
      </c>
      <c r="F380">
        <v>1</v>
      </c>
      <c r="G380">
        <v>2</v>
      </c>
      <c r="H380">
        <v>0.18</v>
      </c>
      <c r="I380" t="s">
        <v>5</v>
      </c>
      <c r="J380" t="s">
        <v>21</v>
      </c>
      <c r="K380" t="s">
        <v>20</v>
      </c>
      <c r="L380">
        <v>0.43</v>
      </c>
      <c r="M380">
        <v>0</v>
      </c>
      <c r="N380">
        <v>5</v>
      </c>
      <c r="O380">
        <v>5</v>
      </c>
      <c r="P380" s="2">
        <v>0.18179999999999999</v>
      </c>
      <c r="Q380" s="2">
        <v>0.19400000000000001</v>
      </c>
      <c r="R380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381" spans="1:18" ht="14.25" x14ac:dyDescent="0.2">
      <c r="A381">
        <v>380</v>
      </c>
      <c r="B381" s="5">
        <v>40560</v>
      </c>
      <c r="C381">
        <v>1</v>
      </c>
      <c r="D381">
        <v>7</v>
      </c>
      <c r="E381" t="b">
        <v>1</v>
      </c>
      <c r="F381">
        <v>1</v>
      </c>
      <c r="G381">
        <v>2</v>
      </c>
      <c r="H381">
        <v>0.16</v>
      </c>
      <c r="I381" t="s">
        <v>5</v>
      </c>
      <c r="J381" t="s">
        <v>21</v>
      </c>
      <c r="K381" t="s">
        <v>20</v>
      </c>
      <c r="L381">
        <v>0.5</v>
      </c>
      <c r="M381">
        <v>4</v>
      </c>
      <c r="N381">
        <v>9</v>
      </c>
      <c r="O381">
        <v>13</v>
      </c>
      <c r="P381" s="2">
        <v>0.18179999999999999</v>
      </c>
      <c r="Q381" s="2">
        <v>0.1343</v>
      </c>
      <c r="R381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382" spans="1:18" ht="14.25" x14ac:dyDescent="0.2">
      <c r="A382">
        <v>381</v>
      </c>
      <c r="B382" s="5">
        <v>40560</v>
      </c>
      <c r="C382">
        <v>1</v>
      </c>
      <c r="D382">
        <v>8</v>
      </c>
      <c r="E382" t="b">
        <v>1</v>
      </c>
      <c r="F382">
        <v>1</v>
      </c>
      <c r="G382">
        <v>2</v>
      </c>
      <c r="H382">
        <v>0.16</v>
      </c>
      <c r="I382" t="s">
        <v>5</v>
      </c>
      <c r="J382" t="s">
        <v>21</v>
      </c>
      <c r="K382" t="s">
        <v>20</v>
      </c>
      <c r="L382">
        <v>0.47</v>
      </c>
      <c r="M382">
        <v>3</v>
      </c>
      <c r="N382">
        <v>30</v>
      </c>
      <c r="O382">
        <v>33</v>
      </c>
      <c r="P382" s="2">
        <v>0.1515</v>
      </c>
      <c r="Q382" s="2">
        <v>0.22389999999999999</v>
      </c>
      <c r="R382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383" spans="1:18" ht="14.25" x14ac:dyDescent="0.2">
      <c r="A383">
        <v>382</v>
      </c>
      <c r="B383" s="5">
        <v>40560</v>
      </c>
      <c r="C383">
        <v>1</v>
      </c>
      <c r="D383">
        <v>9</v>
      </c>
      <c r="E383" t="b">
        <v>1</v>
      </c>
      <c r="F383">
        <v>1</v>
      </c>
      <c r="G383">
        <v>2</v>
      </c>
      <c r="H383">
        <v>0.16</v>
      </c>
      <c r="I383" t="s">
        <v>5</v>
      </c>
      <c r="J383" t="s">
        <v>21</v>
      </c>
      <c r="K383" t="s">
        <v>20</v>
      </c>
      <c r="L383">
        <v>0.47</v>
      </c>
      <c r="M383">
        <v>8</v>
      </c>
      <c r="N383">
        <v>39</v>
      </c>
      <c r="O383">
        <v>47</v>
      </c>
      <c r="P383" s="2">
        <v>0.1515</v>
      </c>
      <c r="Q383" s="2">
        <v>0.22389999999999999</v>
      </c>
      <c r="R383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384" spans="1:18" ht="14.25" x14ac:dyDescent="0.2">
      <c r="A384">
        <v>383</v>
      </c>
      <c r="B384" s="5">
        <v>40560</v>
      </c>
      <c r="C384">
        <v>1</v>
      </c>
      <c r="D384">
        <v>10</v>
      </c>
      <c r="E384" t="b">
        <v>1</v>
      </c>
      <c r="F384">
        <v>1</v>
      </c>
      <c r="G384">
        <v>2</v>
      </c>
      <c r="H384">
        <v>0.16</v>
      </c>
      <c r="I384" t="s">
        <v>5</v>
      </c>
      <c r="J384" t="s">
        <v>21</v>
      </c>
      <c r="K384" t="s">
        <v>20</v>
      </c>
      <c r="L384">
        <v>0.5</v>
      </c>
      <c r="M384">
        <v>7</v>
      </c>
      <c r="N384">
        <v>50</v>
      </c>
      <c r="O384">
        <v>57</v>
      </c>
      <c r="P384" s="2">
        <v>0.1515</v>
      </c>
      <c r="Q384" s="2">
        <v>0.25369999999999998</v>
      </c>
      <c r="R384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385" spans="1:18" ht="14.25" x14ac:dyDescent="0.2">
      <c r="A385">
        <v>384</v>
      </c>
      <c r="B385" s="5">
        <v>40560</v>
      </c>
      <c r="C385">
        <v>1</v>
      </c>
      <c r="D385">
        <v>11</v>
      </c>
      <c r="E385" t="b">
        <v>1</v>
      </c>
      <c r="F385">
        <v>1</v>
      </c>
      <c r="G385">
        <v>2</v>
      </c>
      <c r="H385">
        <v>0.16</v>
      </c>
      <c r="I385" t="s">
        <v>5</v>
      </c>
      <c r="J385" t="s">
        <v>21</v>
      </c>
      <c r="K385" t="s">
        <v>20</v>
      </c>
      <c r="L385">
        <v>0.55000000000000004</v>
      </c>
      <c r="M385">
        <v>9</v>
      </c>
      <c r="N385">
        <v>55</v>
      </c>
      <c r="O385">
        <v>64</v>
      </c>
      <c r="P385" s="2">
        <v>0.1515</v>
      </c>
      <c r="Q385" s="2">
        <v>0.19400000000000001</v>
      </c>
      <c r="R385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386" spans="1:18" ht="14.25" x14ac:dyDescent="0.2">
      <c r="A386">
        <v>385</v>
      </c>
      <c r="B386" s="5">
        <v>40560</v>
      </c>
      <c r="C386">
        <v>1</v>
      </c>
      <c r="D386">
        <v>12</v>
      </c>
      <c r="E386" t="b">
        <v>1</v>
      </c>
      <c r="F386">
        <v>1</v>
      </c>
      <c r="G386">
        <v>2</v>
      </c>
      <c r="H386">
        <v>0.18</v>
      </c>
      <c r="I386" t="s">
        <v>5</v>
      </c>
      <c r="J386" t="s">
        <v>21</v>
      </c>
      <c r="K386" t="s">
        <v>22</v>
      </c>
      <c r="L386">
        <v>0.47</v>
      </c>
      <c r="M386">
        <v>10</v>
      </c>
      <c r="N386">
        <v>70</v>
      </c>
      <c r="O386">
        <v>80</v>
      </c>
      <c r="P386" s="2">
        <v>0.19700000000000001</v>
      </c>
      <c r="Q386" s="2">
        <v>0.1343</v>
      </c>
      <c r="R386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387" spans="1:18" ht="14.25" x14ac:dyDescent="0.2">
      <c r="A387">
        <v>386</v>
      </c>
      <c r="B387" s="5">
        <v>40560</v>
      </c>
      <c r="C387">
        <v>1</v>
      </c>
      <c r="D387">
        <v>13</v>
      </c>
      <c r="E387" t="b">
        <v>1</v>
      </c>
      <c r="F387">
        <v>1</v>
      </c>
      <c r="G387">
        <v>2</v>
      </c>
      <c r="H387">
        <v>0.18</v>
      </c>
      <c r="I387" t="s">
        <v>5</v>
      </c>
      <c r="J387" t="s">
        <v>21</v>
      </c>
      <c r="K387" t="s">
        <v>22</v>
      </c>
      <c r="L387">
        <v>0.47</v>
      </c>
      <c r="M387">
        <v>13</v>
      </c>
      <c r="N387">
        <v>80</v>
      </c>
      <c r="O387">
        <v>93</v>
      </c>
      <c r="P387" s="2">
        <v>0.19700000000000001</v>
      </c>
      <c r="Q387" s="2">
        <v>0.1343</v>
      </c>
      <c r="R387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388" spans="1:18" ht="14.25" x14ac:dyDescent="0.2">
      <c r="A388">
        <v>387</v>
      </c>
      <c r="B388" s="5">
        <v>40560</v>
      </c>
      <c r="C388">
        <v>1</v>
      </c>
      <c r="D388">
        <v>14</v>
      </c>
      <c r="E388" t="b">
        <v>1</v>
      </c>
      <c r="F388">
        <v>1</v>
      </c>
      <c r="G388">
        <v>2</v>
      </c>
      <c r="H388">
        <v>0.18</v>
      </c>
      <c r="I388" t="s">
        <v>5</v>
      </c>
      <c r="J388" t="s">
        <v>21</v>
      </c>
      <c r="K388" t="s">
        <v>22</v>
      </c>
      <c r="L388">
        <v>0.43</v>
      </c>
      <c r="M388">
        <v>12</v>
      </c>
      <c r="N388">
        <v>74</v>
      </c>
      <c r="O388">
        <v>86</v>
      </c>
      <c r="P388" s="2">
        <v>0.21210000000000001</v>
      </c>
      <c r="Q388" s="2">
        <v>0.1045</v>
      </c>
      <c r="R388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389" spans="1:18" ht="14.25" x14ac:dyDescent="0.2">
      <c r="A389">
        <v>388</v>
      </c>
      <c r="B389" s="5">
        <v>40560</v>
      </c>
      <c r="C389">
        <v>1</v>
      </c>
      <c r="D389">
        <v>15</v>
      </c>
      <c r="E389" t="b">
        <v>1</v>
      </c>
      <c r="F389">
        <v>1</v>
      </c>
      <c r="G389">
        <v>2</v>
      </c>
      <c r="H389">
        <v>0.2</v>
      </c>
      <c r="I389" t="s">
        <v>5</v>
      </c>
      <c r="J389" t="s">
        <v>21</v>
      </c>
      <c r="K389" t="s">
        <v>22</v>
      </c>
      <c r="L389">
        <v>0.47</v>
      </c>
      <c r="M389">
        <v>21</v>
      </c>
      <c r="N389">
        <v>72</v>
      </c>
      <c r="O389">
        <v>93</v>
      </c>
      <c r="P389" s="2">
        <v>0.21210000000000001</v>
      </c>
      <c r="Q389" s="2">
        <v>0.16420000000000001</v>
      </c>
      <c r="R389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390" spans="1:18" ht="14.25" x14ac:dyDescent="0.2">
      <c r="A390">
        <v>389</v>
      </c>
      <c r="B390" s="5">
        <v>40560</v>
      </c>
      <c r="C390">
        <v>1</v>
      </c>
      <c r="D390">
        <v>16</v>
      </c>
      <c r="E390" t="b">
        <v>1</v>
      </c>
      <c r="F390">
        <v>1</v>
      </c>
      <c r="G390">
        <v>2</v>
      </c>
      <c r="H390">
        <v>0.2</v>
      </c>
      <c r="I390" t="s">
        <v>5</v>
      </c>
      <c r="J390" t="s">
        <v>21</v>
      </c>
      <c r="K390" t="s">
        <v>22</v>
      </c>
      <c r="L390">
        <v>0.47</v>
      </c>
      <c r="M390">
        <v>6</v>
      </c>
      <c r="N390">
        <v>76</v>
      </c>
      <c r="O390">
        <v>82</v>
      </c>
      <c r="P390" s="2">
        <v>0.21210000000000001</v>
      </c>
      <c r="Q390" s="2">
        <v>0.16420000000000001</v>
      </c>
      <c r="R390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391" spans="1:18" ht="14.25" x14ac:dyDescent="0.2">
      <c r="A391">
        <v>390</v>
      </c>
      <c r="B391" s="5">
        <v>40560</v>
      </c>
      <c r="C391">
        <v>1</v>
      </c>
      <c r="D391">
        <v>17</v>
      </c>
      <c r="E391" t="b">
        <v>1</v>
      </c>
      <c r="F391">
        <v>1</v>
      </c>
      <c r="G391">
        <v>1</v>
      </c>
      <c r="H391">
        <v>0.2</v>
      </c>
      <c r="I391" t="s">
        <v>5</v>
      </c>
      <c r="J391" t="s">
        <v>19</v>
      </c>
      <c r="K391" t="s">
        <v>23</v>
      </c>
      <c r="L391">
        <v>0.51</v>
      </c>
      <c r="M391">
        <v>4</v>
      </c>
      <c r="N391">
        <v>67</v>
      </c>
      <c r="O391">
        <v>71</v>
      </c>
      <c r="P391" s="2">
        <v>0.19700000000000001</v>
      </c>
      <c r="Q391" s="2">
        <v>0.19400000000000001</v>
      </c>
      <c r="R391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392" spans="1:18" ht="14.25" x14ac:dyDescent="0.2">
      <c r="A392">
        <v>391</v>
      </c>
      <c r="B392" s="5">
        <v>40560</v>
      </c>
      <c r="C392">
        <v>1</v>
      </c>
      <c r="D392">
        <v>18</v>
      </c>
      <c r="E392" t="b">
        <v>1</v>
      </c>
      <c r="F392">
        <v>1</v>
      </c>
      <c r="G392">
        <v>2</v>
      </c>
      <c r="H392">
        <v>0.18</v>
      </c>
      <c r="I392" t="s">
        <v>5</v>
      </c>
      <c r="J392" t="s">
        <v>21</v>
      </c>
      <c r="K392" t="s">
        <v>23</v>
      </c>
      <c r="L392">
        <v>0.55000000000000004</v>
      </c>
      <c r="M392">
        <v>7</v>
      </c>
      <c r="N392">
        <v>85</v>
      </c>
      <c r="O392">
        <v>92</v>
      </c>
      <c r="P392" s="2">
        <v>0.16669999999999999</v>
      </c>
      <c r="Q392" s="2">
        <v>0.25369999999999998</v>
      </c>
      <c r="R392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393" spans="1:18" ht="14.25" x14ac:dyDescent="0.2">
      <c r="A393">
        <v>392</v>
      </c>
      <c r="B393" s="5">
        <v>40560</v>
      </c>
      <c r="C393">
        <v>1</v>
      </c>
      <c r="D393">
        <v>19</v>
      </c>
      <c r="E393" t="b">
        <v>1</v>
      </c>
      <c r="F393">
        <v>1</v>
      </c>
      <c r="G393">
        <v>3</v>
      </c>
      <c r="H393">
        <v>0.18</v>
      </c>
      <c r="I393" t="s">
        <v>5</v>
      </c>
      <c r="J393" t="s">
        <v>24</v>
      </c>
      <c r="K393" t="s">
        <v>23</v>
      </c>
      <c r="L393">
        <v>0.59</v>
      </c>
      <c r="M393">
        <v>2</v>
      </c>
      <c r="N393">
        <v>58</v>
      </c>
      <c r="O393">
        <v>60</v>
      </c>
      <c r="P393" s="2">
        <v>0.18179999999999999</v>
      </c>
      <c r="Q393" s="2">
        <v>0.19400000000000001</v>
      </c>
      <c r="R393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394" spans="1:18" ht="14.25" x14ac:dyDescent="0.2">
      <c r="A394">
        <v>393</v>
      </c>
      <c r="B394" s="5">
        <v>40560</v>
      </c>
      <c r="C394">
        <v>1</v>
      </c>
      <c r="D394">
        <v>20</v>
      </c>
      <c r="E394" t="b">
        <v>1</v>
      </c>
      <c r="F394">
        <v>1</v>
      </c>
      <c r="G394">
        <v>3</v>
      </c>
      <c r="H394">
        <v>0.16</v>
      </c>
      <c r="I394" t="s">
        <v>5</v>
      </c>
      <c r="J394" t="s">
        <v>24</v>
      </c>
      <c r="K394" t="s">
        <v>23</v>
      </c>
      <c r="L394">
        <v>0.8</v>
      </c>
      <c r="M394">
        <v>4</v>
      </c>
      <c r="N394">
        <v>29</v>
      </c>
      <c r="O394">
        <v>33</v>
      </c>
      <c r="P394" s="2">
        <v>0.1515</v>
      </c>
      <c r="Q394" s="2">
        <v>0.19400000000000001</v>
      </c>
      <c r="R394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395" spans="1:18" ht="14.25" x14ac:dyDescent="0.2">
      <c r="A395">
        <v>394</v>
      </c>
      <c r="B395" s="5">
        <v>40560</v>
      </c>
      <c r="C395">
        <v>1</v>
      </c>
      <c r="D395">
        <v>21</v>
      </c>
      <c r="E395" t="b">
        <v>1</v>
      </c>
      <c r="F395">
        <v>1</v>
      </c>
      <c r="G395">
        <v>3</v>
      </c>
      <c r="H395">
        <v>0.16</v>
      </c>
      <c r="I395" t="s">
        <v>5</v>
      </c>
      <c r="J395" t="s">
        <v>24</v>
      </c>
      <c r="K395" t="s">
        <v>25</v>
      </c>
      <c r="L395">
        <v>0.8</v>
      </c>
      <c r="M395">
        <v>3</v>
      </c>
      <c r="N395">
        <v>24</v>
      </c>
      <c r="O395">
        <v>27</v>
      </c>
      <c r="P395" s="2">
        <v>0.1515</v>
      </c>
      <c r="Q395" s="2">
        <v>0.19400000000000001</v>
      </c>
      <c r="R395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396" spans="1:18" ht="14.25" x14ac:dyDescent="0.2">
      <c r="A396">
        <v>395</v>
      </c>
      <c r="B396" s="5">
        <v>40560</v>
      </c>
      <c r="C396">
        <v>1</v>
      </c>
      <c r="D396">
        <v>22</v>
      </c>
      <c r="E396" t="b">
        <v>1</v>
      </c>
      <c r="F396">
        <v>1</v>
      </c>
      <c r="G396">
        <v>3</v>
      </c>
      <c r="H396">
        <v>0.14000000000000001</v>
      </c>
      <c r="I396" t="s">
        <v>5</v>
      </c>
      <c r="J396" t="s">
        <v>24</v>
      </c>
      <c r="K396" t="s">
        <v>25</v>
      </c>
      <c r="L396">
        <v>0.93</v>
      </c>
      <c r="M396">
        <v>0</v>
      </c>
      <c r="N396">
        <v>13</v>
      </c>
      <c r="O396">
        <v>13</v>
      </c>
      <c r="P396" s="2">
        <v>0.1212</v>
      </c>
      <c r="Q396" s="2">
        <v>0.25369999999999998</v>
      </c>
      <c r="R396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397" spans="1:18" ht="14.25" x14ac:dyDescent="0.2">
      <c r="A397">
        <v>396</v>
      </c>
      <c r="B397" s="5">
        <v>40560</v>
      </c>
      <c r="C397">
        <v>1</v>
      </c>
      <c r="D397">
        <v>23</v>
      </c>
      <c r="E397" t="b">
        <v>1</v>
      </c>
      <c r="F397">
        <v>1</v>
      </c>
      <c r="G397">
        <v>3</v>
      </c>
      <c r="H397">
        <v>0.16</v>
      </c>
      <c r="I397" t="s">
        <v>5</v>
      </c>
      <c r="J397" t="s">
        <v>24</v>
      </c>
      <c r="K397" t="s">
        <v>25</v>
      </c>
      <c r="L397">
        <v>0.86</v>
      </c>
      <c r="M397">
        <v>1</v>
      </c>
      <c r="N397">
        <v>3</v>
      </c>
      <c r="O397">
        <v>4</v>
      </c>
      <c r="P397" s="2">
        <v>0.13639999999999999</v>
      </c>
      <c r="Q397" s="2">
        <v>0.28360000000000002</v>
      </c>
      <c r="R397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398" spans="1:18" ht="14.25" x14ac:dyDescent="0.2">
      <c r="A398">
        <v>397</v>
      </c>
      <c r="B398" s="5">
        <v>40561</v>
      </c>
      <c r="C398">
        <v>1</v>
      </c>
      <c r="D398">
        <v>12</v>
      </c>
      <c r="E398" t="b">
        <v>0</v>
      </c>
      <c r="F398">
        <v>2</v>
      </c>
      <c r="G398">
        <v>2</v>
      </c>
      <c r="H398">
        <v>0.2</v>
      </c>
      <c r="I398" t="s">
        <v>5</v>
      </c>
      <c r="J398" t="s">
        <v>21</v>
      </c>
      <c r="K398" t="s">
        <v>22</v>
      </c>
      <c r="L398">
        <v>0.86</v>
      </c>
      <c r="M398">
        <v>0</v>
      </c>
      <c r="N398">
        <v>3</v>
      </c>
      <c r="O398">
        <v>3</v>
      </c>
      <c r="P398" s="2">
        <v>0.18179999999999999</v>
      </c>
      <c r="Q398" s="2">
        <v>0.32840000000000003</v>
      </c>
      <c r="R398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399" spans="1:18" ht="14.25" x14ac:dyDescent="0.2">
      <c r="A399">
        <v>398</v>
      </c>
      <c r="B399" s="5">
        <v>40561</v>
      </c>
      <c r="C399">
        <v>1</v>
      </c>
      <c r="D399">
        <v>13</v>
      </c>
      <c r="E399" t="b">
        <v>0</v>
      </c>
      <c r="F399">
        <v>2</v>
      </c>
      <c r="G399">
        <v>2</v>
      </c>
      <c r="H399">
        <v>0.2</v>
      </c>
      <c r="I399" t="s">
        <v>5</v>
      </c>
      <c r="J399" t="s">
        <v>21</v>
      </c>
      <c r="K399" t="s">
        <v>22</v>
      </c>
      <c r="L399">
        <v>0.86</v>
      </c>
      <c r="M399">
        <v>0</v>
      </c>
      <c r="N399">
        <v>22</v>
      </c>
      <c r="O399">
        <v>22</v>
      </c>
      <c r="P399" s="2">
        <v>0.19700000000000001</v>
      </c>
      <c r="Q399" s="2">
        <v>0.22389999999999999</v>
      </c>
      <c r="R399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400" spans="1:18" ht="14.25" x14ac:dyDescent="0.2">
      <c r="A400">
        <v>399</v>
      </c>
      <c r="B400" s="5">
        <v>40561</v>
      </c>
      <c r="C400">
        <v>1</v>
      </c>
      <c r="D400">
        <v>14</v>
      </c>
      <c r="E400" t="b">
        <v>0</v>
      </c>
      <c r="F400">
        <v>2</v>
      </c>
      <c r="G400">
        <v>2</v>
      </c>
      <c r="H400">
        <v>0.22</v>
      </c>
      <c r="I400" t="s">
        <v>5</v>
      </c>
      <c r="J400" t="s">
        <v>21</v>
      </c>
      <c r="K400" t="s">
        <v>22</v>
      </c>
      <c r="L400">
        <v>0.8</v>
      </c>
      <c r="M400">
        <v>2</v>
      </c>
      <c r="N400">
        <v>26</v>
      </c>
      <c r="O400">
        <v>28</v>
      </c>
      <c r="P400" s="2">
        <v>0.2273</v>
      </c>
      <c r="Q400" s="2">
        <v>0.16420000000000001</v>
      </c>
      <c r="R400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401" spans="1:18" ht="14.25" x14ac:dyDescent="0.2">
      <c r="A401">
        <v>400</v>
      </c>
      <c r="B401" s="5">
        <v>40561</v>
      </c>
      <c r="C401">
        <v>1</v>
      </c>
      <c r="D401">
        <v>15</v>
      </c>
      <c r="E401" t="b">
        <v>0</v>
      </c>
      <c r="F401">
        <v>2</v>
      </c>
      <c r="G401">
        <v>2</v>
      </c>
      <c r="H401">
        <v>0.22</v>
      </c>
      <c r="I401" t="s">
        <v>5</v>
      </c>
      <c r="J401" t="s">
        <v>21</v>
      </c>
      <c r="K401" t="s">
        <v>22</v>
      </c>
      <c r="L401">
        <v>0.87</v>
      </c>
      <c r="M401">
        <v>3</v>
      </c>
      <c r="N401">
        <v>32</v>
      </c>
      <c r="O401">
        <v>35</v>
      </c>
      <c r="P401" s="2">
        <v>0.2273</v>
      </c>
      <c r="Q401" s="2">
        <v>0.16420000000000001</v>
      </c>
      <c r="R401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402" spans="1:18" ht="14.25" x14ac:dyDescent="0.2">
      <c r="A402">
        <v>401</v>
      </c>
      <c r="B402" s="5">
        <v>40561</v>
      </c>
      <c r="C402">
        <v>1</v>
      </c>
      <c r="D402">
        <v>16</v>
      </c>
      <c r="E402" t="b">
        <v>0</v>
      </c>
      <c r="F402">
        <v>2</v>
      </c>
      <c r="G402">
        <v>2</v>
      </c>
      <c r="H402">
        <v>0.22</v>
      </c>
      <c r="I402" t="s">
        <v>5</v>
      </c>
      <c r="J402" t="s">
        <v>21</v>
      </c>
      <c r="K402" t="s">
        <v>22</v>
      </c>
      <c r="L402">
        <v>0.87</v>
      </c>
      <c r="M402">
        <v>0</v>
      </c>
      <c r="N402">
        <v>61</v>
      </c>
      <c r="O402">
        <v>61</v>
      </c>
      <c r="P402" s="2">
        <v>0.2273</v>
      </c>
      <c r="Q402" s="2">
        <v>0.19400000000000001</v>
      </c>
      <c r="R402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403" spans="1:18" ht="14.25" x14ac:dyDescent="0.2">
      <c r="A403">
        <v>402</v>
      </c>
      <c r="B403" s="5">
        <v>40561</v>
      </c>
      <c r="C403">
        <v>1</v>
      </c>
      <c r="D403">
        <v>17</v>
      </c>
      <c r="E403" t="b">
        <v>0</v>
      </c>
      <c r="F403">
        <v>2</v>
      </c>
      <c r="G403">
        <v>2</v>
      </c>
      <c r="H403">
        <v>0.22</v>
      </c>
      <c r="I403" t="s">
        <v>5</v>
      </c>
      <c r="J403" t="s">
        <v>21</v>
      </c>
      <c r="K403" t="s">
        <v>23</v>
      </c>
      <c r="L403">
        <v>0.82</v>
      </c>
      <c r="M403">
        <v>1</v>
      </c>
      <c r="N403">
        <v>124</v>
      </c>
      <c r="O403">
        <v>125</v>
      </c>
      <c r="P403" s="2">
        <v>0.2273</v>
      </c>
      <c r="Q403" s="2">
        <v>0.19400000000000001</v>
      </c>
      <c r="R403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404" spans="1:18" ht="14.25" x14ac:dyDescent="0.2">
      <c r="A404">
        <v>403</v>
      </c>
      <c r="B404" s="5">
        <v>40561</v>
      </c>
      <c r="C404">
        <v>1</v>
      </c>
      <c r="D404">
        <v>18</v>
      </c>
      <c r="E404" t="b">
        <v>0</v>
      </c>
      <c r="F404">
        <v>2</v>
      </c>
      <c r="G404">
        <v>2</v>
      </c>
      <c r="H404">
        <v>0.22</v>
      </c>
      <c r="I404" t="s">
        <v>5</v>
      </c>
      <c r="J404" t="s">
        <v>21</v>
      </c>
      <c r="K404" t="s">
        <v>23</v>
      </c>
      <c r="L404">
        <v>0.8</v>
      </c>
      <c r="M404">
        <v>1</v>
      </c>
      <c r="N404">
        <v>132</v>
      </c>
      <c r="O404">
        <v>133</v>
      </c>
      <c r="P404" s="2">
        <v>0.2273</v>
      </c>
      <c r="Q404" s="2">
        <v>0.16420000000000001</v>
      </c>
      <c r="R404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405" spans="1:18" ht="14.25" x14ac:dyDescent="0.2">
      <c r="A405">
        <v>404</v>
      </c>
      <c r="B405" s="5">
        <v>40561</v>
      </c>
      <c r="C405">
        <v>1</v>
      </c>
      <c r="D405">
        <v>19</v>
      </c>
      <c r="E405" t="b">
        <v>0</v>
      </c>
      <c r="F405">
        <v>2</v>
      </c>
      <c r="G405">
        <v>2</v>
      </c>
      <c r="H405">
        <v>0.22</v>
      </c>
      <c r="I405" t="s">
        <v>5</v>
      </c>
      <c r="J405" t="s">
        <v>21</v>
      </c>
      <c r="K405" t="s">
        <v>23</v>
      </c>
      <c r="L405">
        <v>0.8</v>
      </c>
      <c r="M405">
        <v>1</v>
      </c>
      <c r="N405">
        <v>98</v>
      </c>
      <c r="O405">
        <v>99</v>
      </c>
      <c r="P405" s="2">
        <v>0.2273</v>
      </c>
      <c r="Q405" s="2">
        <v>0.1343</v>
      </c>
      <c r="R405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406" spans="1:18" ht="14.25" x14ac:dyDescent="0.2">
      <c r="A406">
        <v>405</v>
      </c>
      <c r="B406" s="5">
        <v>40561</v>
      </c>
      <c r="C406">
        <v>1</v>
      </c>
      <c r="D406">
        <v>20</v>
      </c>
      <c r="E406" t="b">
        <v>0</v>
      </c>
      <c r="F406">
        <v>2</v>
      </c>
      <c r="G406">
        <v>2</v>
      </c>
      <c r="H406">
        <v>0.22</v>
      </c>
      <c r="I406" t="s">
        <v>5</v>
      </c>
      <c r="J406" t="s">
        <v>21</v>
      </c>
      <c r="K406" t="s">
        <v>23</v>
      </c>
      <c r="L406">
        <v>0.87</v>
      </c>
      <c r="M406">
        <v>0</v>
      </c>
      <c r="N406">
        <v>83</v>
      </c>
      <c r="O406">
        <v>83</v>
      </c>
      <c r="P406" s="2">
        <v>0.2727</v>
      </c>
      <c r="Q406" s="2">
        <v>0</v>
      </c>
      <c r="R406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407" spans="1:18" ht="14.25" x14ac:dyDescent="0.2">
      <c r="A407">
        <v>406</v>
      </c>
      <c r="B407" s="5">
        <v>40561</v>
      </c>
      <c r="C407">
        <v>1</v>
      </c>
      <c r="D407">
        <v>21</v>
      </c>
      <c r="E407" t="b">
        <v>0</v>
      </c>
      <c r="F407">
        <v>2</v>
      </c>
      <c r="G407">
        <v>2</v>
      </c>
      <c r="H407">
        <v>0.22</v>
      </c>
      <c r="I407" t="s">
        <v>5</v>
      </c>
      <c r="J407" t="s">
        <v>21</v>
      </c>
      <c r="K407" t="s">
        <v>25</v>
      </c>
      <c r="L407">
        <v>0.93</v>
      </c>
      <c r="M407">
        <v>0</v>
      </c>
      <c r="N407">
        <v>41</v>
      </c>
      <c r="O407">
        <v>41</v>
      </c>
      <c r="P407" s="2">
        <v>0.2424</v>
      </c>
      <c r="Q407" s="2">
        <v>0.1045</v>
      </c>
      <c r="R407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408" spans="1:18" ht="14.25" x14ac:dyDescent="0.2">
      <c r="A408">
        <v>407</v>
      </c>
      <c r="B408" s="5">
        <v>40561</v>
      </c>
      <c r="C408">
        <v>1</v>
      </c>
      <c r="D408">
        <v>22</v>
      </c>
      <c r="E408" t="b">
        <v>0</v>
      </c>
      <c r="F408">
        <v>2</v>
      </c>
      <c r="G408">
        <v>2</v>
      </c>
      <c r="H408">
        <v>0.22</v>
      </c>
      <c r="I408" t="s">
        <v>5</v>
      </c>
      <c r="J408" t="s">
        <v>21</v>
      </c>
      <c r="K408" t="s">
        <v>25</v>
      </c>
      <c r="L408">
        <v>0.93</v>
      </c>
      <c r="M408">
        <v>0</v>
      </c>
      <c r="N408">
        <v>33</v>
      </c>
      <c r="O408">
        <v>33</v>
      </c>
      <c r="P408" s="2">
        <v>0.2576</v>
      </c>
      <c r="Q408" s="2">
        <v>8.9599999999999999E-2</v>
      </c>
      <c r="R408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409" spans="1:18" ht="14.25" x14ac:dyDescent="0.2">
      <c r="A409">
        <v>408</v>
      </c>
      <c r="B409" s="5">
        <v>40561</v>
      </c>
      <c r="C409">
        <v>1</v>
      </c>
      <c r="D409">
        <v>23</v>
      </c>
      <c r="E409" t="b">
        <v>0</v>
      </c>
      <c r="F409">
        <v>2</v>
      </c>
      <c r="G409">
        <v>2</v>
      </c>
      <c r="H409">
        <v>0.22</v>
      </c>
      <c r="I409" t="s">
        <v>5</v>
      </c>
      <c r="J409" t="s">
        <v>21</v>
      </c>
      <c r="K409" t="s">
        <v>25</v>
      </c>
      <c r="L409">
        <v>0.93</v>
      </c>
      <c r="M409">
        <v>1</v>
      </c>
      <c r="N409">
        <v>19</v>
      </c>
      <c r="O409">
        <v>20</v>
      </c>
      <c r="P409" s="2">
        <v>0.2727</v>
      </c>
      <c r="Q409" s="2">
        <v>0</v>
      </c>
      <c r="R409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410" spans="1:18" ht="14.25" x14ac:dyDescent="0.2">
      <c r="A410">
        <v>409</v>
      </c>
      <c r="B410" s="5">
        <v>40562</v>
      </c>
      <c r="C410">
        <v>1</v>
      </c>
      <c r="D410">
        <v>0</v>
      </c>
      <c r="E410" t="b">
        <v>0</v>
      </c>
      <c r="F410">
        <v>3</v>
      </c>
      <c r="G410">
        <v>2</v>
      </c>
      <c r="H410">
        <v>0.22</v>
      </c>
      <c r="I410" t="s">
        <v>5</v>
      </c>
      <c r="J410" t="s">
        <v>21</v>
      </c>
      <c r="K410" t="s">
        <v>20</v>
      </c>
      <c r="L410">
        <v>0.93</v>
      </c>
      <c r="M410">
        <v>0</v>
      </c>
      <c r="N410">
        <v>3</v>
      </c>
      <c r="O410">
        <v>3</v>
      </c>
      <c r="P410" s="2">
        <v>0.2727</v>
      </c>
      <c r="Q410" s="2">
        <v>0</v>
      </c>
      <c r="R410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411" spans="1:18" ht="14.25" x14ac:dyDescent="0.2">
      <c r="A411">
        <v>410</v>
      </c>
      <c r="B411" s="5">
        <v>40562</v>
      </c>
      <c r="C411">
        <v>1</v>
      </c>
      <c r="D411">
        <v>1</v>
      </c>
      <c r="E411" t="b">
        <v>0</v>
      </c>
      <c r="F411">
        <v>3</v>
      </c>
      <c r="G411">
        <v>3</v>
      </c>
      <c r="H411">
        <v>0.22</v>
      </c>
      <c r="I411" t="s">
        <v>5</v>
      </c>
      <c r="J411" t="s">
        <v>24</v>
      </c>
      <c r="K411" t="s">
        <v>20</v>
      </c>
      <c r="L411">
        <v>0.93</v>
      </c>
      <c r="M411">
        <v>1</v>
      </c>
      <c r="N411">
        <v>6</v>
      </c>
      <c r="O411">
        <v>7</v>
      </c>
      <c r="P411" s="2">
        <v>0.2273</v>
      </c>
      <c r="Q411" s="2">
        <v>0.1343</v>
      </c>
      <c r="R411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412" spans="1:18" ht="14.25" x14ac:dyDescent="0.2">
      <c r="A412">
        <v>411</v>
      </c>
      <c r="B412" s="5">
        <v>40562</v>
      </c>
      <c r="C412">
        <v>1</v>
      </c>
      <c r="D412">
        <v>2</v>
      </c>
      <c r="E412" t="b">
        <v>0</v>
      </c>
      <c r="F412">
        <v>3</v>
      </c>
      <c r="G412">
        <v>3</v>
      </c>
      <c r="H412">
        <v>0.22</v>
      </c>
      <c r="I412" t="s">
        <v>5</v>
      </c>
      <c r="J412" t="s">
        <v>24</v>
      </c>
      <c r="K412" t="s">
        <v>20</v>
      </c>
      <c r="L412">
        <v>0.93</v>
      </c>
      <c r="M412">
        <v>0</v>
      </c>
      <c r="N412">
        <v>3</v>
      </c>
      <c r="O412">
        <v>3</v>
      </c>
      <c r="P412" s="2">
        <v>0.2273</v>
      </c>
      <c r="Q412" s="2">
        <v>0.1343</v>
      </c>
      <c r="R412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413" spans="1:18" ht="14.25" x14ac:dyDescent="0.2">
      <c r="A413">
        <v>412</v>
      </c>
      <c r="B413" s="5">
        <v>40562</v>
      </c>
      <c r="C413">
        <v>1</v>
      </c>
      <c r="D413">
        <v>4</v>
      </c>
      <c r="E413" t="b">
        <v>0</v>
      </c>
      <c r="F413">
        <v>3</v>
      </c>
      <c r="G413">
        <v>3</v>
      </c>
      <c r="H413">
        <v>0.22</v>
      </c>
      <c r="I413" t="s">
        <v>5</v>
      </c>
      <c r="J413" t="s">
        <v>24</v>
      </c>
      <c r="K413" t="s">
        <v>20</v>
      </c>
      <c r="L413">
        <v>0.93</v>
      </c>
      <c r="M413">
        <v>1</v>
      </c>
      <c r="N413">
        <v>1</v>
      </c>
      <c r="O413">
        <v>2</v>
      </c>
      <c r="P413" s="2">
        <v>0.2273</v>
      </c>
      <c r="Q413" s="2">
        <v>0.1343</v>
      </c>
      <c r="R413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414" spans="1:18" ht="14.25" x14ac:dyDescent="0.2">
      <c r="A414">
        <v>413</v>
      </c>
      <c r="B414" s="5">
        <v>40562</v>
      </c>
      <c r="C414">
        <v>1</v>
      </c>
      <c r="D414">
        <v>5</v>
      </c>
      <c r="E414" t="b">
        <v>0</v>
      </c>
      <c r="F414">
        <v>3</v>
      </c>
      <c r="G414">
        <v>2</v>
      </c>
      <c r="H414">
        <v>0.22</v>
      </c>
      <c r="I414" t="s">
        <v>5</v>
      </c>
      <c r="J414" t="s">
        <v>21</v>
      </c>
      <c r="K414" t="s">
        <v>20</v>
      </c>
      <c r="L414">
        <v>0.93</v>
      </c>
      <c r="M414">
        <v>0</v>
      </c>
      <c r="N414">
        <v>7</v>
      </c>
      <c r="O414">
        <v>7</v>
      </c>
      <c r="P414" s="2">
        <v>0.2576</v>
      </c>
      <c r="Q414" s="2">
        <v>8.9599999999999999E-2</v>
      </c>
      <c r="R414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415" spans="1:18" ht="14.25" x14ac:dyDescent="0.2">
      <c r="A415">
        <v>414</v>
      </c>
      <c r="B415" s="5">
        <v>40562</v>
      </c>
      <c r="C415">
        <v>1</v>
      </c>
      <c r="D415">
        <v>6</v>
      </c>
      <c r="E415" t="b">
        <v>0</v>
      </c>
      <c r="F415">
        <v>3</v>
      </c>
      <c r="G415">
        <v>2</v>
      </c>
      <c r="H415">
        <v>0.22</v>
      </c>
      <c r="I415" t="s">
        <v>5</v>
      </c>
      <c r="J415" t="s">
        <v>21</v>
      </c>
      <c r="K415" t="s">
        <v>20</v>
      </c>
      <c r="L415">
        <v>0.93</v>
      </c>
      <c r="M415">
        <v>0</v>
      </c>
      <c r="N415">
        <v>32</v>
      </c>
      <c r="O415">
        <v>32</v>
      </c>
      <c r="P415" s="2">
        <v>0.2576</v>
      </c>
      <c r="Q415" s="2">
        <v>8.9599999999999999E-2</v>
      </c>
      <c r="R415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416" spans="1:18" ht="14.25" x14ac:dyDescent="0.2">
      <c r="A416">
        <v>415</v>
      </c>
      <c r="B416" s="5">
        <v>40562</v>
      </c>
      <c r="C416">
        <v>1</v>
      </c>
      <c r="D416">
        <v>7</v>
      </c>
      <c r="E416" t="b">
        <v>0</v>
      </c>
      <c r="F416">
        <v>3</v>
      </c>
      <c r="G416">
        <v>2</v>
      </c>
      <c r="H416">
        <v>0.24</v>
      </c>
      <c r="I416" t="s">
        <v>5</v>
      </c>
      <c r="J416" t="s">
        <v>21</v>
      </c>
      <c r="K416" t="s">
        <v>20</v>
      </c>
      <c r="L416">
        <v>0.92</v>
      </c>
      <c r="M416">
        <v>1</v>
      </c>
      <c r="N416">
        <v>89</v>
      </c>
      <c r="O416">
        <v>90</v>
      </c>
      <c r="P416" s="2">
        <v>0.2576</v>
      </c>
      <c r="Q416" s="2">
        <v>0.1045</v>
      </c>
      <c r="R416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417" spans="1:18" ht="14.25" x14ac:dyDescent="0.2">
      <c r="A417">
        <v>416</v>
      </c>
      <c r="B417" s="5">
        <v>40562</v>
      </c>
      <c r="C417">
        <v>1</v>
      </c>
      <c r="D417">
        <v>8</v>
      </c>
      <c r="E417" t="b">
        <v>0</v>
      </c>
      <c r="F417">
        <v>3</v>
      </c>
      <c r="G417">
        <v>2</v>
      </c>
      <c r="H417">
        <v>0.24</v>
      </c>
      <c r="I417" t="s">
        <v>5</v>
      </c>
      <c r="J417" t="s">
        <v>21</v>
      </c>
      <c r="K417" t="s">
        <v>20</v>
      </c>
      <c r="L417">
        <v>0.93</v>
      </c>
      <c r="M417">
        <v>1</v>
      </c>
      <c r="N417">
        <v>196</v>
      </c>
      <c r="O417">
        <v>197</v>
      </c>
      <c r="P417" s="2">
        <v>0.2576</v>
      </c>
      <c r="Q417" s="2">
        <v>0.1045</v>
      </c>
      <c r="R417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418" spans="1:18" ht="14.25" x14ac:dyDescent="0.2">
      <c r="A418">
        <v>417</v>
      </c>
      <c r="B418" s="5">
        <v>40562</v>
      </c>
      <c r="C418">
        <v>1</v>
      </c>
      <c r="D418">
        <v>9</v>
      </c>
      <c r="E418" t="b">
        <v>0</v>
      </c>
      <c r="F418">
        <v>3</v>
      </c>
      <c r="G418">
        <v>2</v>
      </c>
      <c r="H418">
        <v>0.24</v>
      </c>
      <c r="I418" t="s">
        <v>5</v>
      </c>
      <c r="J418" t="s">
        <v>21</v>
      </c>
      <c r="K418" t="s">
        <v>20</v>
      </c>
      <c r="L418">
        <v>0.93</v>
      </c>
      <c r="M418">
        <v>2</v>
      </c>
      <c r="N418">
        <v>107</v>
      </c>
      <c r="O418">
        <v>109</v>
      </c>
      <c r="P418" s="2">
        <v>0.2576</v>
      </c>
      <c r="Q418" s="2">
        <v>0.1045</v>
      </c>
      <c r="R418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419" spans="1:18" ht="14.25" x14ac:dyDescent="0.2">
      <c r="A419">
        <v>418</v>
      </c>
      <c r="B419" s="5">
        <v>40562</v>
      </c>
      <c r="C419">
        <v>1</v>
      </c>
      <c r="D419">
        <v>10</v>
      </c>
      <c r="E419" t="b">
        <v>0</v>
      </c>
      <c r="F419">
        <v>3</v>
      </c>
      <c r="G419">
        <v>2</v>
      </c>
      <c r="H419">
        <v>0.26</v>
      </c>
      <c r="I419" t="s">
        <v>5</v>
      </c>
      <c r="J419" t="s">
        <v>21</v>
      </c>
      <c r="K419" t="s">
        <v>20</v>
      </c>
      <c r="L419">
        <v>0.93</v>
      </c>
      <c r="M419">
        <v>1</v>
      </c>
      <c r="N419">
        <v>46</v>
      </c>
      <c r="O419">
        <v>47</v>
      </c>
      <c r="P419" s="2">
        <v>0.2727</v>
      </c>
      <c r="Q419" s="2">
        <v>0.1343</v>
      </c>
      <c r="R419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420" spans="1:18" ht="14.25" x14ac:dyDescent="0.2">
      <c r="A420">
        <v>419</v>
      </c>
      <c r="B420" s="5">
        <v>40562</v>
      </c>
      <c r="C420">
        <v>1</v>
      </c>
      <c r="D420">
        <v>11</v>
      </c>
      <c r="E420" t="b">
        <v>0</v>
      </c>
      <c r="F420">
        <v>3</v>
      </c>
      <c r="G420">
        <v>2</v>
      </c>
      <c r="H420">
        <v>0.28000000000000003</v>
      </c>
      <c r="I420" t="s">
        <v>5</v>
      </c>
      <c r="J420" t="s">
        <v>21</v>
      </c>
      <c r="K420" t="s">
        <v>20</v>
      </c>
      <c r="L420">
        <v>0.87</v>
      </c>
      <c r="M420">
        <v>5</v>
      </c>
      <c r="N420">
        <v>47</v>
      </c>
      <c r="O420">
        <v>52</v>
      </c>
      <c r="P420" s="2">
        <v>0.30299999999999999</v>
      </c>
      <c r="Q420" s="2">
        <v>8.9599999999999999E-2</v>
      </c>
      <c r="R420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421" spans="1:18" ht="14.25" x14ac:dyDescent="0.2">
      <c r="A421">
        <v>420</v>
      </c>
      <c r="B421" s="5">
        <v>40562</v>
      </c>
      <c r="C421">
        <v>1</v>
      </c>
      <c r="D421">
        <v>12</v>
      </c>
      <c r="E421" t="b">
        <v>0</v>
      </c>
      <c r="F421">
        <v>3</v>
      </c>
      <c r="G421">
        <v>2</v>
      </c>
      <c r="H421">
        <v>0.3</v>
      </c>
      <c r="I421" t="s">
        <v>5</v>
      </c>
      <c r="J421" t="s">
        <v>21</v>
      </c>
      <c r="K421" t="s">
        <v>22</v>
      </c>
      <c r="L421">
        <v>0.81</v>
      </c>
      <c r="M421">
        <v>5</v>
      </c>
      <c r="N421">
        <v>65</v>
      </c>
      <c r="O421">
        <v>70</v>
      </c>
      <c r="P421" s="2">
        <v>0.31819999999999998</v>
      </c>
      <c r="Q421" s="2">
        <v>8.9599999999999999E-2</v>
      </c>
      <c r="R421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422" spans="1:18" ht="14.25" x14ac:dyDescent="0.2">
      <c r="A422">
        <v>421</v>
      </c>
      <c r="B422" s="5">
        <v>40562</v>
      </c>
      <c r="C422">
        <v>1</v>
      </c>
      <c r="D422">
        <v>13</v>
      </c>
      <c r="E422" t="b">
        <v>0</v>
      </c>
      <c r="F422">
        <v>3</v>
      </c>
      <c r="G422">
        <v>1</v>
      </c>
      <c r="H422">
        <v>0.4</v>
      </c>
      <c r="I422" t="s">
        <v>5</v>
      </c>
      <c r="J422" t="s">
        <v>19</v>
      </c>
      <c r="K422" t="s">
        <v>22</v>
      </c>
      <c r="L422">
        <v>0.62</v>
      </c>
      <c r="M422">
        <v>11</v>
      </c>
      <c r="N422">
        <v>67</v>
      </c>
      <c r="O422">
        <v>78</v>
      </c>
      <c r="P422" s="2">
        <v>0.40910000000000002</v>
      </c>
      <c r="Q422" s="2">
        <v>0.28360000000000002</v>
      </c>
      <c r="R422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423" spans="1:18" ht="14.25" x14ac:dyDescent="0.2">
      <c r="A423">
        <v>422</v>
      </c>
      <c r="B423" s="5">
        <v>40562</v>
      </c>
      <c r="C423">
        <v>1</v>
      </c>
      <c r="D423">
        <v>14</v>
      </c>
      <c r="E423" t="b">
        <v>0</v>
      </c>
      <c r="F423">
        <v>3</v>
      </c>
      <c r="G423">
        <v>1</v>
      </c>
      <c r="H423">
        <v>0.4</v>
      </c>
      <c r="I423" t="s">
        <v>5</v>
      </c>
      <c r="J423" t="s">
        <v>19</v>
      </c>
      <c r="K423" t="s">
        <v>22</v>
      </c>
      <c r="L423">
        <v>0.57999999999999996</v>
      </c>
      <c r="M423">
        <v>7</v>
      </c>
      <c r="N423">
        <v>68</v>
      </c>
      <c r="O423">
        <v>75</v>
      </c>
      <c r="P423" s="2">
        <v>0.40910000000000002</v>
      </c>
      <c r="Q423" s="2">
        <v>0.25369999999999998</v>
      </c>
      <c r="R423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424" spans="1:18" ht="14.25" x14ac:dyDescent="0.2">
      <c r="A424">
        <v>423</v>
      </c>
      <c r="B424" s="5">
        <v>40562</v>
      </c>
      <c r="C424">
        <v>1</v>
      </c>
      <c r="D424">
        <v>15</v>
      </c>
      <c r="E424" t="b">
        <v>0</v>
      </c>
      <c r="F424">
        <v>3</v>
      </c>
      <c r="G424">
        <v>1</v>
      </c>
      <c r="H424">
        <v>0.4</v>
      </c>
      <c r="I424" t="s">
        <v>5</v>
      </c>
      <c r="J424" t="s">
        <v>19</v>
      </c>
      <c r="K424" t="s">
        <v>22</v>
      </c>
      <c r="L424">
        <v>0.54</v>
      </c>
      <c r="M424">
        <v>4</v>
      </c>
      <c r="N424">
        <v>78</v>
      </c>
      <c r="O424">
        <v>82</v>
      </c>
      <c r="P424" s="2">
        <v>0.40910000000000002</v>
      </c>
      <c r="Q424" s="2">
        <v>0.28360000000000002</v>
      </c>
      <c r="R424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425" spans="1:18" ht="14.25" x14ac:dyDescent="0.2">
      <c r="A425">
        <v>424</v>
      </c>
      <c r="B425" s="5">
        <v>40562</v>
      </c>
      <c r="C425">
        <v>1</v>
      </c>
      <c r="D425">
        <v>16</v>
      </c>
      <c r="E425" t="b">
        <v>0</v>
      </c>
      <c r="F425">
        <v>3</v>
      </c>
      <c r="G425">
        <v>1</v>
      </c>
      <c r="H425">
        <v>0.38</v>
      </c>
      <c r="I425" t="s">
        <v>5</v>
      </c>
      <c r="J425" t="s">
        <v>19</v>
      </c>
      <c r="K425" t="s">
        <v>22</v>
      </c>
      <c r="L425">
        <v>0.57999999999999996</v>
      </c>
      <c r="M425">
        <v>10</v>
      </c>
      <c r="N425">
        <v>94</v>
      </c>
      <c r="O425">
        <v>104</v>
      </c>
      <c r="P425" s="2">
        <v>0.39389999999999997</v>
      </c>
      <c r="Q425" s="2">
        <v>0.3881</v>
      </c>
      <c r="R425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426" spans="1:18" ht="14.25" x14ac:dyDescent="0.2">
      <c r="A426">
        <v>425</v>
      </c>
      <c r="B426" s="5">
        <v>40562</v>
      </c>
      <c r="C426">
        <v>1</v>
      </c>
      <c r="D426">
        <v>17</v>
      </c>
      <c r="E426" t="b">
        <v>0</v>
      </c>
      <c r="F426">
        <v>3</v>
      </c>
      <c r="G426">
        <v>1</v>
      </c>
      <c r="H426">
        <v>0.36</v>
      </c>
      <c r="I426" t="s">
        <v>5</v>
      </c>
      <c r="J426" t="s">
        <v>19</v>
      </c>
      <c r="K426" t="s">
        <v>23</v>
      </c>
      <c r="L426">
        <v>0.56999999999999995</v>
      </c>
      <c r="M426">
        <v>7</v>
      </c>
      <c r="N426">
        <v>190</v>
      </c>
      <c r="O426">
        <v>197</v>
      </c>
      <c r="P426" s="2">
        <v>0.33329999999999999</v>
      </c>
      <c r="Q426" s="2">
        <v>0.32840000000000003</v>
      </c>
      <c r="R426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427" spans="1:18" ht="14.25" x14ac:dyDescent="0.2">
      <c r="A427">
        <v>426</v>
      </c>
      <c r="B427" s="5">
        <v>40562</v>
      </c>
      <c r="C427">
        <v>1</v>
      </c>
      <c r="D427">
        <v>18</v>
      </c>
      <c r="E427" t="b">
        <v>0</v>
      </c>
      <c r="F427">
        <v>3</v>
      </c>
      <c r="G427">
        <v>1</v>
      </c>
      <c r="H427">
        <v>0.34</v>
      </c>
      <c r="I427" t="s">
        <v>5</v>
      </c>
      <c r="J427" t="s">
        <v>19</v>
      </c>
      <c r="K427" t="s">
        <v>23</v>
      </c>
      <c r="L427">
        <v>0.61</v>
      </c>
      <c r="M427">
        <v>5</v>
      </c>
      <c r="N427">
        <v>156</v>
      </c>
      <c r="O427">
        <v>161</v>
      </c>
      <c r="P427" s="2">
        <v>0.31819999999999998</v>
      </c>
      <c r="Q427" s="2">
        <v>0.28360000000000002</v>
      </c>
      <c r="R427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428" spans="1:18" ht="14.25" x14ac:dyDescent="0.2">
      <c r="A428">
        <v>427</v>
      </c>
      <c r="B428" s="5">
        <v>40562</v>
      </c>
      <c r="C428">
        <v>1</v>
      </c>
      <c r="D428">
        <v>19</v>
      </c>
      <c r="E428" t="b">
        <v>0</v>
      </c>
      <c r="F428">
        <v>3</v>
      </c>
      <c r="G428">
        <v>1</v>
      </c>
      <c r="H428">
        <v>0.32</v>
      </c>
      <c r="I428" t="s">
        <v>5</v>
      </c>
      <c r="J428" t="s">
        <v>19</v>
      </c>
      <c r="K428" t="s">
        <v>23</v>
      </c>
      <c r="L428">
        <v>0.56999999999999995</v>
      </c>
      <c r="M428">
        <v>4</v>
      </c>
      <c r="N428">
        <v>108</v>
      </c>
      <c r="O428">
        <v>112</v>
      </c>
      <c r="P428" s="2">
        <v>0.28789999999999999</v>
      </c>
      <c r="Q428" s="2">
        <v>0.41789999999999999</v>
      </c>
      <c r="R428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429" spans="1:18" ht="14.25" x14ac:dyDescent="0.2">
      <c r="A429">
        <v>428</v>
      </c>
      <c r="B429" s="5">
        <v>40562</v>
      </c>
      <c r="C429">
        <v>1</v>
      </c>
      <c r="D429">
        <v>20</v>
      </c>
      <c r="E429" t="b">
        <v>0</v>
      </c>
      <c r="F429">
        <v>3</v>
      </c>
      <c r="G429">
        <v>1</v>
      </c>
      <c r="H429">
        <v>0.32</v>
      </c>
      <c r="I429" t="s">
        <v>5</v>
      </c>
      <c r="J429" t="s">
        <v>19</v>
      </c>
      <c r="K429" t="s">
        <v>23</v>
      </c>
      <c r="L429">
        <v>0.49</v>
      </c>
      <c r="M429">
        <v>2</v>
      </c>
      <c r="N429">
        <v>74</v>
      </c>
      <c r="O429">
        <v>76</v>
      </c>
      <c r="P429" s="2">
        <v>0.30299999999999999</v>
      </c>
      <c r="Q429" s="2">
        <v>0.29849999999999999</v>
      </c>
      <c r="R429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430" spans="1:18" ht="14.25" x14ac:dyDescent="0.2">
      <c r="A430">
        <v>429</v>
      </c>
      <c r="B430" s="5">
        <v>40562</v>
      </c>
      <c r="C430">
        <v>1</v>
      </c>
      <c r="D430">
        <v>21</v>
      </c>
      <c r="E430" t="b">
        <v>0</v>
      </c>
      <c r="F430">
        <v>3</v>
      </c>
      <c r="G430">
        <v>1</v>
      </c>
      <c r="H430">
        <v>0.32</v>
      </c>
      <c r="I430" t="s">
        <v>5</v>
      </c>
      <c r="J430" t="s">
        <v>19</v>
      </c>
      <c r="K430" t="s">
        <v>25</v>
      </c>
      <c r="L430">
        <v>0.49</v>
      </c>
      <c r="M430">
        <v>4</v>
      </c>
      <c r="N430">
        <v>55</v>
      </c>
      <c r="O430">
        <v>59</v>
      </c>
      <c r="P430" s="2">
        <v>0.28789999999999999</v>
      </c>
      <c r="Q430" s="2">
        <v>0.41789999999999999</v>
      </c>
      <c r="R430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431" spans="1:18" ht="14.25" x14ac:dyDescent="0.2">
      <c r="A431">
        <v>430</v>
      </c>
      <c r="B431" s="5">
        <v>40562</v>
      </c>
      <c r="C431">
        <v>1</v>
      </c>
      <c r="D431">
        <v>22</v>
      </c>
      <c r="E431" t="b">
        <v>0</v>
      </c>
      <c r="F431">
        <v>3</v>
      </c>
      <c r="G431">
        <v>1</v>
      </c>
      <c r="H431">
        <v>0.3</v>
      </c>
      <c r="I431" t="s">
        <v>5</v>
      </c>
      <c r="J431" t="s">
        <v>19</v>
      </c>
      <c r="K431" t="s">
        <v>25</v>
      </c>
      <c r="L431">
        <v>0.52</v>
      </c>
      <c r="M431">
        <v>6</v>
      </c>
      <c r="N431">
        <v>53</v>
      </c>
      <c r="O431">
        <v>59</v>
      </c>
      <c r="P431" s="2">
        <v>0.30299999999999999</v>
      </c>
      <c r="Q431" s="2">
        <v>0.16420000000000001</v>
      </c>
      <c r="R431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432" spans="1:18" ht="14.25" x14ac:dyDescent="0.2">
      <c r="A432">
        <v>431</v>
      </c>
      <c r="B432" s="5">
        <v>40562</v>
      </c>
      <c r="C432">
        <v>1</v>
      </c>
      <c r="D432">
        <v>23</v>
      </c>
      <c r="E432" t="b">
        <v>0</v>
      </c>
      <c r="F432">
        <v>3</v>
      </c>
      <c r="G432">
        <v>1</v>
      </c>
      <c r="H432">
        <v>0.3</v>
      </c>
      <c r="I432" t="s">
        <v>5</v>
      </c>
      <c r="J432" t="s">
        <v>19</v>
      </c>
      <c r="K432" t="s">
        <v>25</v>
      </c>
      <c r="L432">
        <v>0.52</v>
      </c>
      <c r="M432">
        <v>1</v>
      </c>
      <c r="N432">
        <v>27</v>
      </c>
      <c r="O432">
        <v>28</v>
      </c>
      <c r="P432" s="2">
        <v>0.2727</v>
      </c>
      <c r="Q432" s="2">
        <v>0.4627</v>
      </c>
      <c r="R432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433" spans="1:18" ht="14.25" x14ac:dyDescent="0.2">
      <c r="A433">
        <v>432</v>
      </c>
      <c r="B433" s="5">
        <v>40563</v>
      </c>
      <c r="C433">
        <v>1</v>
      </c>
      <c r="D433">
        <v>0</v>
      </c>
      <c r="E433" t="b">
        <v>0</v>
      </c>
      <c r="F433">
        <v>4</v>
      </c>
      <c r="G433">
        <v>1</v>
      </c>
      <c r="H433">
        <v>0.26</v>
      </c>
      <c r="I433" t="s">
        <v>5</v>
      </c>
      <c r="J433" t="s">
        <v>19</v>
      </c>
      <c r="K433" t="s">
        <v>20</v>
      </c>
      <c r="L433">
        <v>0.56000000000000005</v>
      </c>
      <c r="M433">
        <v>5</v>
      </c>
      <c r="N433">
        <v>8</v>
      </c>
      <c r="O433">
        <v>13</v>
      </c>
      <c r="P433" s="2">
        <v>0.2273</v>
      </c>
      <c r="Q433" s="2">
        <v>0.3881</v>
      </c>
      <c r="R433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434" spans="1:18" ht="14.25" x14ac:dyDescent="0.2">
      <c r="A434">
        <v>433</v>
      </c>
      <c r="B434" s="5">
        <v>40563</v>
      </c>
      <c r="C434">
        <v>1</v>
      </c>
      <c r="D434">
        <v>1</v>
      </c>
      <c r="E434" t="b">
        <v>0</v>
      </c>
      <c r="F434">
        <v>4</v>
      </c>
      <c r="G434">
        <v>1</v>
      </c>
      <c r="H434">
        <v>0.26</v>
      </c>
      <c r="I434" t="s">
        <v>5</v>
      </c>
      <c r="J434" t="s">
        <v>19</v>
      </c>
      <c r="K434" t="s">
        <v>20</v>
      </c>
      <c r="L434">
        <v>0.56000000000000005</v>
      </c>
      <c r="M434">
        <v>2</v>
      </c>
      <c r="N434">
        <v>3</v>
      </c>
      <c r="O434">
        <v>5</v>
      </c>
      <c r="P434" s="2">
        <v>0.2727</v>
      </c>
      <c r="Q434" s="2">
        <v>0</v>
      </c>
      <c r="R434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435" spans="1:18" ht="14.25" x14ac:dyDescent="0.2">
      <c r="A435">
        <v>434</v>
      </c>
      <c r="B435" s="5">
        <v>40563</v>
      </c>
      <c r="C435">
        <v>1</v>
      </c>
      <c r="D435">
        <v>2</v>
      </c>
      <c r="E435" t="b">
        <v>0</v>
      </c>
      <c r="F435">
        <v>4</v>
      </c>
      <c r="G435">
        <v>1</v>
      </c>
      <c r="H435">
        <v>0.26</v>
      </c>
      <c r="I435" t="s">
        <v>5</v>
      </c>
      <c r="J435" t="s">
        <v>19</v>
      </c>
      <c r="K435" t="s">
        <v>20</v>
      </c>
      <c r="L435">
        <v>0.56000000000000005</v>
      </c>
      <c r="M435">
        <v>0</v>
      </c>
      <c r="N435">
        <v>2</v>
      </c>
      <c r="O435">
        <v>2</v>
      </c>
      <c r="P435" s="2">
        <v>0.2727</v>
      </c>
      <c r="Q435" s="2">
        <v>0</v>
      </c>
      <c r="R435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436" spans="1:18" ht="14.25" x14ac:dyDescent="0.2">
      <c r="A436">
        <v>435</v>
      </c>
      <c r="B436" s="5">
        <v>40563</v>
      </c>
      <c r="C436">
        <v>1</v>
      </c>
      <c r="D436">
        <v>3</v>
      </c>
      <c r="E436" t="b">
        <v>0</v>
      </c>
      <c r="F436">
        <v>4</v>
      </c>
      <c r="G436">
        <v>1</v>
      </c>
      <c r="H436">
        <v>0.26</v>
      </c>
      <c r="I436" t="s">
        <v>5</v>
      </c>
      <c r="J436" t="s">
        <v>19</v>
      </c>
      <c r="K436" t="s">
        <v>20</v>
      </c>
      <c r="L436">
        <v>0.56000000000000005</v>
      </c>
      <c r="M436">
        <v>0</v>
      </c>
      <c r="N436">
        <v>1</v>
      </c>
      <c r="O436">
        <v>1</v>
      </c>
      <c r="P436" s="2">
        <v>0.2576</v>
      </c>
      <c r="Q436" s="2">
        <v>0.16420000000000001</v>
      </c>
      <c r="R436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437" spans="1:18" ht="14.25" x14ac:dyDescent="0.2">
      <c r="A437">
        <v>436</v>
      </c>
      <c r="B437" s="5">
        <v>40563</v>
      </c>
      <c r="C437">
        <v>1</v>
      </c>
      <c r="D437">
        <v>4</v>
      </c>
      <c r="E437" t="b">
        <v>0</v>
      </c>
      <c r="F437">
        <v>4</v>
      </c>
      <c r="G437">
        <v>1</v>
      </c>
      <c r="H437">
        <v>0.26</v>
      </c>
      <c r="I437" t="s">
        <v>5</v>
      </c>
      <c r="J437" t="s">
        <v>19</v>
      </c>
      <c r="K437" t="s">
        <v>20</v>
      </c>
      <c r="L437">
        <v>0.56000000000000005</v>
      </c>
      <c r="M437">
        <v>0</v>
      </c>
      <c r="N437">
        <v>1</v>
      </c>
      <c r="O437">
        <v>1</v>
      </c>
      <c r="P437" s="2">
        <v>0.2576</v>
      </c>
      <c r="Q437" s="2">
        <v>0.16420000000000001</v>
      </c>
      <c r="R437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438" spans="1:18" ht="14.25" x14ac:dyDescent="0.2">
      <c r="A438">
        <v>437</v>
      </c>
      <c r="B438" s="5">
        <v>40563</v>
      </c>
      <c r="C438">
        <v>1</v>
      </c>
      <c r="D438">
        <v>5</v>
      </c>
      <c r="E438" t="b">
        <v>0</v>
      </c>
      <c r="F438">
        <v>4</v>
      </c>
      <c r="G438">
        <v>1</v>
      </c>
      <c r="H438">
        <v>0.24</v>
      </c>
      <c r="I438" t="s">
        <v>5</v>
      </c>
      <c r="J438" t="s">
        <v>19</v>
      </c>
      <c r="K438" t="s">
        <v>20</v>
      </c>
      <c r="L438">
        <v>0.6</v>
      </c>
      <c r="M438">
        <v>0</v>
      </c>
      <c r="N438">
        <v>6</v>
      </c>
      <c r="O438">
        <v>6</v>
      </c>
      <c r="P438" s="2">
        <v>0.2273</v>
      </c>
      <c r="Q438" s="2">
        <v>0.22389999999999999</v>
      </c>
      <c r="R438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439" spans="1:18" ht="14.25" x14ac:dyDescent="0.2">
      <c r="A439">
        <v>438</v>
      </c>
      <c r="B439" s="5">
        <v>40563</v>
      </c>
      <c r="C439">
        <v>1</v>
      </c>
      <c r="D439">
        <v>6</v>
      </c>
      <c r="E439" t="b">
        <v>0</v>
      </c>
      <c r="F439">
        <v>4</v>
      </c>
      <c r="G439">
        <v>1</v>
      </c>
      <c r="H439">
        <v>0.22</v>
      </c>
      <c r="I439" t="s">
        <v>5</v>
      </c>
      <c r="J439" t="s">
        <v>19</v>
      </c>
      <c r="K439" t="s">
        <v>20</v>
      </c>
      <c r="L439">
        <v>0.6</v>
      </c>
      <c r="M439">
        <v>0</v>
      </c>
      <c r="N439">
        <v>35</v>
      </c>
      <c r="O439">
        <v>35</v>
      </c>
      <c r="P439" s="2">
        <v>0.21210000000000001</v>
      </c>
      <c r="Q439" s="2">
        <v>0.22389999999999999</v>
      </c>
      <c r="R439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440" spans="1:18" ht="14.25" x14ac:dyDescent="0.2">
      <c r="A440">
        <v>439</v>
      </c>
      <c r="B440" s="5">
        <v>40563</v>
      </c>
      <c r="C440">
        <v>1</v>
      </c>
      <c r="D440">
        <v>7</v>
      </c>
      <c r="E440" t="b">
        <v>0</v>
      </c>
      <c r="F440">
        <v>4</v>
      </c>
      <c r="G440">
        <v>1</v>
      </c>
      <c r="H440">
        <v>0.22</v>
      </c>
      <c r="I440" t="s">
        <v>5</v>
      </c>
      <c r="J440" t="s">
        <v>19</v>
      </c>
      <c r="K440" t="s">
        <v>20</v>
      </c>
      <c r="L440">
        <v>0.55000000000000004</v>
      </c>
      <c r="M440">
        <v>1</v>
      </c>
      <c r="N440">
        <v>100</v>
      </c>
      <c r="O440">
        <v>101</v>
      </c>
      <c r="P440" s="2">
        <v>0.21210000000000001</v>
      </c>
      <c r="Q440" s="2">
        <v>0.22389999999999999</v>
      </c>
      <c r="R440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441" spans="1:18" ht="14.25" x14ac:dyDescent="0.2">
      <c r="A441">
        <v>440</v>
      </c>
      <c r="B441" s="5">
        <v>40563</v>
      </c>
      <c r="C441">
        <v>1</v>
      </c>
      <c r="D441">
        <v>8</v>
      </c>
      <c r="E441" t="b">
        <v>0</v>
      </c>
      <c r="F441">
        <v>4</v>
      </c>
      <c r="G441">
        <v>1</v>
      </c>
      <c r="H441">
        <v>0.22</v>
      </c>
      <c r="I441" t="s">
        <v>5</v>
      </c>
      <c r="J441" t="s">
        <v>19</v>
      </c>
      <c r="K441" t="s">
        <v>20</v>
      </c>
      <c r="L441">
        <v>0.55000000000000004</v>
      </c>
      <c r="M441">
        <v>2</v>
      </c>
      <c r="N441">
        <v>247</v>
      </c>
      <c r="O441">
        <v>249</v>
      </c>
      <c r="P441" s="2">
        <v>0.21210000000000001</v>
      </c>
      <c r="Q441" s="2">
        <v>0.28360000000000002</v>
      </c>
      <c r="R441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442" spans="1:18" ht="14.25" x14ac:dyDescent="0.2">
      <c r="A442">
        <v>441</v>
      </c>
      <c r="B442" s="5">
        <v>40563</v>
      </c>
      <c r="C442">
        <v>1</v>
      </c>
      <c r="D442">
        <v>9</v>
      </c>
      <c r="E442" t="b">
        <v>0</v>
      </c>
      <c r="F442">
        <v>4</v>
      </c>
      <c r="G442">
        <v>2</v>
      </c>
      <c r="H442">
        <v>0.24</v>
      </c>
      <c r="I442" t="s">
        <v>5</v>
      </c>
      <c r="J442" t="s">
        <v>21</v>
      </c>
      <c r="K442" t="s">
        <v>20</v>
      </c>
      <c r="L442">
        <v>0.52</v>
      </c>
      <c r="M442">
        <v>3</v>
      </c>
      <c r="N442">
        <v>140</v>
      </c>
      <c r="O442">
        <v>143</v>
      </c>
      <c r="P442" s="2">
        <v>0.2273</v>
      </c>
      <c r="Q442" s="2">
        <v>0.22389999999999999</v>
      </c>
      <c r="R442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443" spans="1:18" ht="14.25" x14ac:dyDescent="0.2">
      <c r="A443">
        <v>442</v>
      </c>
      <c r="B443" s="5">
        <v>40563</v>
      </c>
      <c r="C443">
        <v>1</v>
      </c>
      <c r="D443">
        <v>10</v>
      </c>
      <c r="E443" t="b">
        <v>0</v>
      </c>
      <c r="F443">
        <v>4</v>
      </c>
      <c r="G443">
        <v>1</v>
      </c>
      <c r="H443">
        <v>0.26</v>
      </c>
      <c r="I443" t="s">
        <v>5</v>
      </c>
      <c r="J443" t="s">
        <v>19</v>
      </c>
      <c r="K443" t="s">
        <v>20</v>
      </c>
      <c r="L443">
        <v>0.48</v>
      </c>
      <c r="M443">
        <v>1</v>
      </c>
      <c r="N443">
        <v>56</v>
      </c>
      <c r="O443">
        <v>57</v>
      </c>
      <c r="P443" s="2">
        <v>0.2273</v>
      </c>
      <c r="Q443" s="2">
        <v>0.29849999999999999</v>
      </c>
      <c r="R443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444" spans="1:18" ht="14.25" x14ac:dyDescent="0.2">
      <c r="A444">
        <v>443</v>
      </c>
      <c r="B444" s="5">
        <v>40563</v>
      </c>
      <c r="C444">
        <v>1</v>
      </c>
      <c r="D444">
        <v>11</v>
      </c>
      <c r="E444" t="b">
        <v>0</v>
      </c>
      <c r="F444">
        <v>4</v>
      </c>
      <c r="G444">
        <v>2</v>
      </c>
      <c r="H444">
        <v>0.28000000000000003</v>
      </c>
      <c r="I444" t="s">
        <v>5</v>
      </c>
      <c r="J444" t="s">
        <v>21</v>
      </c>
      <c r="K444" t="s">
        <v>20</v>
      </c>
      <c r="L444">
        <v>0.45</v>
      </c>
      <c r="M444">
        <v>5</v>
      </c>
      <c r="N444">
        <v>63</v>
      </c>
      <c r="O444">
        <v>68</v>
      </c>
      <c r="P444" s="2">
        <v>0.2727</v>
      </c>
      <c r="Q444" s="2">
        <v>0.16420000000000001</v>
      </c>
      <c r="R444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445" spans="1:18" ht="14.25" x14ac:dyDescent="0.2">
      <c r="A445">
        <v>444</v>
      </c>
      <c r="B445" s="5">
        <v>40563</v>
      </c>
      <c r="C445">
        <v>1</v>
      </c>
      <c r="D445">
        <v>12</v>
      </c>
      <c r="E445" t="b">
        <v>0</v>
      </c>
      <c r="F445">
        <v>4</v>
      </c>
      <c r="G445">
        <v>2</v>
      </c>
      <c r="H445">
        <v>0.3</v>
      </c>
      <c r="I445" t="s">
        <v>5</v>
      </c>
      <c r="J445" t="s">
        <v>21</v>
      </c>
      <c r="K445" t="s">
        <v>22</v>
      </c>
      <c r="L445">
        <v>0.42</v>
      </c>
      <c r="M445">
        <v>7</v>
      </c>
      <c r="N445">
        <v>77</v>
      </c>
      <c r="O445">
        <v>84</v>
      </c>
      <c r="P445" s="2">
        <v>0.33329999999999999</v>
      </c>
      <c r="Q445" s="2">
        <v>0</v>
      </c>
      <c r="R445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446" spans="1:18" ht="14.25" x14ac:dyDescent="0.2">
      <c r="A446">
        <v>445</v>
      </c>
      <c r="B446" s="5">
        <v>40563</v>
      </c>
      <c r="C446">
        <v>1</v>
      </c>
      <c r="D446">
        <v>13</v>
      </c>
      <c r="E446" t="b">
        <v>0</v>
      </c>
      <c r="F446">
        <v>4</v>
      </c>
      <c r="G446">
        <v>2</v>
      </c>
      <c r="H446">
        <v>0.28000000000000003</v>
      </c>
      <c r="I446" t="s">
        <v>5</v>
      </c>
      <c r="J446" t="s">
        <v>21</v>
      </c>
      <c r="K446" t="s">
        <v>22</v>
      </c>
      <c r="L446">
        <v>0.45</v>
      </c>
      <c r="M446">
        <v>12</v>
      </c>
      <c r="N446">
        <v>86</v>
      </c>
      <c r="O446">
        <v>98</v>
      </c>
      <c r="P446" s="2">
        <v>0.28789999999999999</v>
      </c>
      <c r="Q446" s="2">
        <v>0.1045</v>
      </c>
      <c r="R446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447" spans="1:18" ht="14.25" x14ac:dyDescent="0.2">
      <c r="A447">
        <v>446</v>
      </c>
      <c r="B447" s="5">
        <v>40563</v>
      </c>
      <c r="C447">
        <v>1</v>
      </c>
      <c r="D447">
        <v>14</v>
      </c>
      <c r="E447" t="b">
        <v>0</v>
      </c>
      <c r="F447">
        <v>4</v>
      </c>
      <c r="G447">
        <v>2</v>
      </c>
      <c r="H447">
        <v>0.3</v>
      </c>
      <c r="I447" t="s">
        <v>5</v>
      </c>
      <c r="J447" t="s">
        <v>21</v>
      </c>
      <c r="K447" t="s">
        <v>22</v>
      </c>
      <c r="L447">
        <v>0.45</v>
      </c>
      <c r="M447">
        <v>6</v>
      </c>
      <c r="N447">
        <v>75</v>
      </c>
      <c r="O447">
        <v>81</v>
      </c>
      <c r="P447" s="2">
        <v>0.30299999999999999</v>
      </c>
      <c r="Q447" s="2">
        <v>0.1343</v>
      </c>
      <c r="R447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448" spans="1:18" ht="14.25" x14ac:dyDescent="0.2">
      <c r="A448">
        <v>447</v>
      </c>
      <c r="B448" s="5">
        <v>40563</v>
      </c>
      <c r="C448">
        <v>1</v>
      </c>
      <c r="D448">
        <v>15</v>
      </c>
      <c r="E448" t="b">
        <v>0</v>
      </c>
      <c r="F448">
        <v>4</v>
      </c>
      <c r="G448">
        <v>2</v>
      </c>
      <c r="H448">
        <v>0.32</v>
      </c>
      <c r="I448" t="s">
        <v>5</v>
      </c>
      <c r="J448" t="s">
        <v>21</v>
      </c>
      <c r="K448" t="s">
        <v>22</v>
      </c>
      <c r="L448">
        <v>0.45</v>
      </c>
      <c r="M448">
        <v>8</v>
      </c>
      <c r="N448">
        <v>62</v>
      </c>
      <c r="O448">
        <v>70</v>
      </c>
      <c r="P448" s="2">
        <v>0.31819999999999998</v>
      </c>
      <c r="Q448" s="2">
        <v>0.19400000000000001</v>
      </c>
      <c r="R448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449" spans="1:18" ht="14.25" x14ac:dyDescent="0.2">
      <c r="A449">
        <v>448</v>
      </c>
      <c r="B449" s="5">
        <v>40563</v>
      </c>
      <c r="C449">
        <v>1</v>
      </c>
      <c r="D449">
        <v>16</v>
      </c>
      <c r="E449" t="b">
        <v>0</v>
      </c>
      <c r="F449">
        <v>4</v>
      </c>
      <c r="G449">
        <v>2</v>
      </c>
      <c r="H449">
        <v>0.3</v>
      </c>
      <c r="I449" t="s">
        <v>5</v>
      </c>
      <c r="J449" t="s">
        <v>21</v>
      </c>
      <c r="K449" t="s">
        <v>22</v>
      </c>
      <c r="L449">
        <v>0.49</v>
      </c>
      <c r="M449">
        <v>8</v>
      </c>
      <c r="N449">
        <v>83</v>
      </c>
      <c r="O449">
        <v>91</v>
      </c>
      <c r="P449" s="2">
        <v>0.30299999999999999</v>
      </c>
      <c r="Q449" s="2">
        <v>0.1343</v>
      </c>
      <c r="R449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450" spans="1:18" ht="14.25" x14ac:dyDescent="0.2">
      <c r="A450">
        <v>449</v>
      </c>
      <c r="B450" s="5">
        <v>40563</v>
      </c>
      <c r="C450">
        <v>1</v>
      </c>
      <c r="D450">
        <v>17</v>
      </c>
      <c r="E450" t="b">
        <v>0</v>
      </c>
      <c r="F450">
        <v>4</v>
      </c>
      <c r="G450">
        <v>2</v>
      </c>
      <c r="H450">
        <v>0.3</v>
      </c>
      <c r="I450" t="s">
        <v>5</v>
      </c>
      <c r="J450" t="s">
        <v>21</v>
      </c>
      <c r="K450" t="s">
        <v>23</v>
      </c>
      <c r="L450">
        <v>0.49</v>
      </c>
      <c r="M450">
        <v>8</v>
      </c>
      <c r="N450">
        <v>207</v>
      </c>
      <c r="O450">
        <v>215</v>
      </c>
      <c r="P450" s="2">
        <v>0.31819999999999998</v>
      </c>
      <c r="Q450" s="2">
        <v>0.1045</v>
      </c>
      <c r="R450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451" spans="1:18" ht="14.25" x14ac:dyDescent="0.2">
      <c r="A451">
        <v>450</v>
      </c>
      <c r="B451" s="5">
        <v>40563</v>
      </c>
      <c r="C451">
        <v>1</v>
      </c>
      <c r="D451">
        <v>18</v>
      </c>
      <c r="E451" t="b">
        <v>0</v>
      </c>
      <c r="F451">
        <v>4</v>
      </c>
      <c r="G451">
        <v>2</v>
      </c>
      <c r="H451">
        <v>0.26</v>
      </c>
      <c r="I451" t="s">
        <v>5</v>
      </c>
      <c r="J451" t="s">
        <v>21</v>
      </c>
      <c r="K451" t="s">
        <v>23</v>
      </c>
      <c r="L451">
        <v>0.56000000000000005</v>
      </c>
      <c r="M451">
        <v>1</v>
      </c>
      <c r="N451">
        <v>184</v>
      </c>
      <c r="O451">
        <v>185</v>
      </c>
      <c r="P451" s="2">
        <v>0.2576</v>
      </c>
      <c r="Q451" s="2">
        <v>0.19400000000000001</v>
      </c>
      <c r="R451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452" spans="1:18" ht="14.25" x14ac:dyDescent="0.2">
      <c r="A452">
        <v>451</v>
      </c>
      <c r="B452" s="5">
        <v>40563</v>
      </c>
      <c r="C452">
        <v>1</v>
      </c>
      <c r="D452">
        <v>19</v>
      </c>
      <c r="E452" t="b">
        <v>0</v>
      </c>
      <c r="F452">
        <v>4</v>
      </c>
      <c r="G452">
        <v>1</v>
      </c>
      <c r="H452">
        <v>0.26</v>
      </c>
      <c r="I452" t="s">
        <v>5</v>
      </c>
      <c r="J452" t="s">
        <v>19</v>
      </c>
      <c r="K452" t="s">
        <v>23</v>
      </c>
      <c r="L452">
        <v>0.56000000000000005</v>
      </c>
      <c r="M452">
        <v>6</v>
      </c>
      <c r="N452">
        <v>146</v>
      </c>
      <c r="O452">
        <v>152</v>
      </c>
      <c r="P452" s="2">
        <v>0.2273</v>
      </c>
      <c r="Q452" s="2">
        <v>0.32840000000000003</v>
      </c>
      <c r="R452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453" spans="1:18" ht="14.25" x14ac:dyDescent="0.2">
      <c r="A453">
        <v>452</v>
      </c>
      <c r="B453" s="5">
        <v>40563</v>
      </c>
      <c r="C453">
        <v>1</v>
      </c>
      <c r="D453">
        <v>20</v>
      </c>
      <c r="E453" t="b">
        <v>0</v>
      </c>
      <c r="F453">
        <v>4</v>
      </c>
      <c r="G453">
        <v>2</v>
      </c>
      <c r="H453">
        <v>0.26</v>
      </c>
      <c r="I453" t="s">
        <v>5</v>
      </c>
      <c r="J453" t="s">
        <v>21</v>
      </c>
      <c r="K453" t="s">
        <v>23</v>
      </c>
      <c r="L453">
        <v>0.6</v>
      </c>
      <c r="M453">
        <v>2</v>
      </c>
      <c r="N453">
        <v>124</v>
      </c>
      <c r="O453">
        <v>126</v>
      </c>
      <c r="P453" s="2">
        <v>0.2424</v>
      </c>
      <c r="Q453" s="2">
        <v>0.28360000000000002</v>
      </c>
      <c r="R453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454" spans="1:18" ht="14.25" x14ac:dyDescent="0.2">
      <c r="A454">
        <v>453</v>
      </c>
      <c r="B454" s="5">
        <v>40563</v>
      </c>
      <c r="C454">
        <v>1</v>
      </c>
      <c r="D454">
        <v>21</v>
      </c>
      <c r="E454" t="b">
        <v>0</v>
      </c>
      <c r="F454">
        <v>4</v>
      </c>
      <c r="G454">
        <v>2</v>
      </c>
      <c r="H454">
        <v>0.24</v>
      </c>
      <c r="I454" t="s">
        <v>5</v>
      </c>
      <c r="J454" t="s">
        <v>21</v>
      </c>
      <c r="K454" t="s">
        <v>25</v>
      </c>
      <c r="L454">
        <v>0.6</v>
      </c>
      <c r="M454">
        <v>3</v>
      </c>
      <c r="N454">
        <v>54</v>
      </c>
      <c r="O454">
        <v>57</v>
      </c>
      <c r="P454" s="2">
        <v>0.2273</v>
      </c>
      <c r="Q454" s="2">
        <v>0.25369999999999998</v>
      </c>
      <c r="R454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455" spans="1:18" ht="14.25" x14ac:dyDescent="0.2">
      <c r="A455">
        <v>454</v>
      </c>
      <c r="B455" s="5">
        <v>40563</v>
      </c>
      <c r="C455">
        <v>1</v>
      </c>
      <c r="D455">
        <v>22</v>
      </c>
      <c r="E455" t="b">
        <v>0</v>
      </c>
      <c r="F455">
        <v>4</v>
      </c>
      <c r="G455">
        <v>2</v>
      </c>
      <c r="H455">
        <v>0.24</v>
      </c>
      <c r="I455" t="s">
        <v>5</v>
      </c>
      <c r="J455" t="s">
        <v>21</v>
      </c>
      <c r="K455" t="s">
        <v>25</v>
      </c>
      <c r="L455">
        <v>0.65</v>
      </c>
      <c r="M455">
        <v>0</v>
      </c>
      <c r="N455">
        <v>56</v>
      </c>
      <c r="O455">
        <v>56</v>
      </c>
      <c r="P455" s="2">
        <v>0.21210000000000001</v>
      </c>
      <c r="Q455" s="2">
        <v>0.28360000000000002</v>
      </c>
      <c r="R455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456" spans="1:18" ht="14.25" x14ac:dyDescent="0.2">
      <c r="A456">
        <v>455</v>
      </c>
      <c r="B456" s="5">
        <v>40563</v>
      </c>
      <c r="C456">
        <v>1</v>
      </c>
      <c r="D456">
        <v>23</v>
      </c>
      <c r="E456" t="b">
        <v>0</v>
      </c>
      <c r="F456">
        <v>4</v>
      </c>
      <c r="G456">
        <v>2</v>
      </c>
      <c r="H456">
        <v>0.24</v>
      </c>
      <c r="I456" t="s">
        <v>5</v>
      </c>
      <c r="J456" t="s">
        <v>21</v>
      </c>
      <c r="K456" t="s">
        <v>25</v>
      </c>
      <c r="L456">
        <v>0.65</v>
      </c>
      <c r="M456">
        <v>3</v>
      </c>
      <c r="N456">
        <v>28</v>
      </c>
      <c r="O456">
        <v>31</v>
      </c>
      <c r="P456" s="2">
        <v>0.21210000000000001</v>
      </c>
      <c r="Q456" s="2">
        <v>0.32840000000000003</v>
      </c>
      <c r="R456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457" spans="1:18" ht="14.25" x14ac:dyDescent="0.2">
      <c r="A457">
        <v>456</v>
      </c>
      <c r="B457" s="5">
        <v>40564</v>
      </c>
      <c r="C457">
        <v>1</v>
      </c>
      <c r="D457">
        <v>0</v>
      </c>
      <c r="E457" t="b">
        <v>0</v>
      </c>
      <c r="F457">
        <v>5</v>
      </c>
      <c r="G457">
        <v>2</v>
      </c>
      <c r="H457">
        <v>0.24</v>
      </c>
      <c r="I457" t="s">
        <v>5</v>
      </c>
      <c r="J457" t="s">
        <v>21</v>
      </c>
      <c r="K457" t="s">
        <v>20</v>
      </c>
      <c r="L457">
        <v>0.7</v>
      </c>
      <c r="M457">
        <v>1</v>
      </c>
      <c r="N457">
        <v>20</v>
      </c>
      <c r="O457">
        <v>21</v>
      </c>
      <c r="P457" s="2">
        <v>0.2273</v>
      </c>
      <c r="Q457" s="2">
        <v>0.25369999999999998</v>
      </c>
      <c r="R457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458" spans="1:18" ht="14.25" x14ac:dyDescent="0.2">
      <c r="A458">
        <v>457</v>
      </c>
      <c r="B458" s="5">
        <v>40564</v>
      </c>
      <c r="C458">
        <v>1</v>
      </c>
      <c r="D458">
        <v>1</v>
      </c>
      <c r="E458" t="b">
        <v>0</v>
      </c>
      <c r="F458">
        <v>5</v>
      </c>
      <c r="G458">
        <v>2</v>
      </c>
      <c r="H458">
        <v>0.24</v>
      </c>
      <c r="I458" t="s">
        <v>5</v>
      </c>
      <c r="J458" t="s">
        <v>21</v>
      </c>
      <c r="K458" t="s">
        <v>20</v>
      </c>
      <c r="L458">
        <v>0.7</v>
      </c>
      <c r="M458">
        <v>0</v>
      </c>
      <c r="N458">
        <v>6</v>
      </c>
      <c r="O458">
        <v>6</v>
      </c>
      <c r="P458" s="2">
        <v>0.2273</v>
      </c>
      <c r="Q458" s="2">
        <v>0.25369999999999998</v>
      </c>
      <c r="R458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459" spans="1:18" ht="14.25" x14ac:dyDescent="0.2">
      <c r="A459">
        <v>458</v>
      </c>
      <c r="B459" s="5">
        <v>40564</v>
      </c>
      <c r="C459">
        <v>1</v>
      </c>
      <c r="D459">
        <v>2</v>
      </c>
      <c r="E459" t="b">
        <v>0</v>
      </c>
      <c r="F459">
        <v>5</v>
      </c>
      <c r="G459">
        <v>3</v>
      </c>
      <c r="H459">
        <v>0.24</v>
      </c>
      <c r="I459" t="s">
        <v>5</v>
      </c>
      <c r="J459" t="s">
        <v>24</v>
      </c>
      <c r="K459" t="s">
        <v>20</v>
      </c>
      <c r="L459">
        <v>0.75</v>
      </c>
      <c r="M459">
        <v>0</v>
      </c>
      <c r="N459">
        <v>2</v>
      </c>
      <c r="O459">
        <v>2</v>
      </c>
      <c r="P459" s="2">
        <v>0.2424</v>
      </c>
      <c r="Q459" s="2">
        <v>0.16420000000000001</v>
      </c>
      <c r="R459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460" spans="1:18" ht="14.25" x14ac:dyDescent="0.2">
      <c r="A460">
        <v>459</v>
      </c>
      <c r="B460" s="5">
        <v>40564</v>
      </c>
      <c r="C460">
        <v>1</v>
      </c>
      <c r="D460">
        <v>3</v>
      </c>
      <c r="E460" t="b">
        <v>0</v>
      </c>
      <c r="F460">
        <v>5</v>
      </c>
      <c r="G460">
        <v>3</v>
      </c>
      <c r="H460">
        <v>0.22</v>
      </c>
      <c r="I460" t="s">
        <v>5</v>
      </c>
      <c r="J460" t="s">
        <v>24</v>
      </c>
      <c r="K460" t="s">
        <v>20</v>
      </c>
      <c r="L460">
        <v>0.8</v>
      </c>
      <c r="M460">
        <v>0</v>
      </c>
      <c r="N460">
        <v>1</v>
      </c>
      <c r="O460">
        <v>1</v>
      </c>
      <c r="P460" s="2">
        <v>0.21210000000000001</v>
      </c>
      <c r="Q460" s="2">
        <v>0.29849999999999999</v>
      </c>
      <c r="R460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461" spans="1:18" ht="14.25" x14ac:dyDescent="0.2">
      <c r="A461">
        <v>460</v>
      </c>
      <c r="B461" s="5">
        <v>40564</v>
      </c>
      <c r="C461">
        <v>1</v>
      </c>
      <c r="D461">
        <v>4</v>
      </c>
      <c r="E461" t="b">
        <v>0</v>
      </c>
      <c r="F461">
        <v>5</v>
      </c>
      <c r="G461">
        <v>2</v>
      </c>
      <c r="H461">
        <v>0.22</v>
      </c>
      <c r="I461" t="s">
        <v>5</v>
      </c>
      <c r="J461" t="s">
        <v>21</v>
      </c>
      <c r="K461" t="s">
        <v>20</v>
      </c>
      <c r="L461">
        <v>0.87</v>
      </c>
      <c r="M461">
        <v>0</v>
      </c>
      <c r="N461">
        <v>1</v>
      </c>
      <c r="O461">
        <v>1</v>
      </c>
      <c r="P461" s="2">
        <v>0.2576</v>
      </c>
      <c r="Q461" s="2">
        <v>8.9599999999999999E-2</v>
      </c>
      <c r="R461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462" spans="1:18" ht="14.25" x14ac:dyDescent="0.2">
      <c r="A462">
        <v>461</v>
      </c>
      <c r="B462" s="5">
        <v>40564</v>
      </c>
      <c r="C462">
        <v>1</v>
      </c>
      <c r="D462">
        <v>5</v>
      </c>
      <c r="E462" t="b">
        <v>0</v>
      </c>
      <c r="F462">
        <v>5</v>
      </c>
      <c r="G462">
        <v>1</v>
      </c>
      <c r="H462">
        <v>0.24</v>
      </c>
      <c r="I462" t="s">
        <v>5</v>
      </c>
      <c r="J462" t="s">
        <v>19</v>
      </c>
      <c r="K462" t="s">
        <v>20</v>
      </c>
      <c r="L462">
        <v>0.6</v>
      </c>
      <c r="M462">
        <v>1</v>
      </c>
      <c r="N462">
        <v>4</v>
      </c>
      <c r="O462">
        <v>5</v>
      </c>
      <c r="P462" s="2">
        <v>0.19700000000000001</v>
      </c>
      <c r="Q462" s="2">
        <v>0.41789999999999999</v>
      </c>
      <c r="R462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463" spans="1:18" ht="14.25" x14ac:dyDescent="0.2">
      <c r="A463">
        <v>462</v>
      </c>
      <c r="B463" s="5">
        <v>40564</v>
      </c>
      <c r="C463">
        <v>1</v>
      </c>
      <c r="D463">
        <v>6</v>
      </c>
      <c r="E463" t="b">
        <v>0</v>
      </c>
      <c r="F463">
        <v>5</v>
      </c>
      <c r="G463">
        <v>1</v>
      </c>
      <c r="H463">
        <v>0.22</v>
      </c>
      <c r="I463" t="s">
        <v>5</v>
      </c>
      <c r="J463" t="s">
        <v>19</v>
      </c>
      <c r="K463" t="s">
        <v>20</v>
      </c>
      <c r="L463">
        <v>0.55000000000000004</v>
      </c>
      <c r="M463">
        <v>0</v>
      </c>
      <c r="N463">
        <v>27</v>
      </c>
      <c r="O463">
        <v>27</v>
      </c>
      <c r="P463" s="2">
        <v>0.21210000000000001</v>
      </c>
      <c r="Q463" s="2">
        <v>0.25369999999999998</v>
      </c>
      <c r="R463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464" spans="1:18" ht="14.25" x14ac:dyDescent="0.2">
      <c r="A464">
        <v>463</v>
      </c>
      <c r="B464" s="5">
        <v>40564</v>
      </c>
      <c r="C464">
        <v>1</v>
      </c>
      <c r="D464">
        <v>7</v>
      </c>
      <c r="E464" t="b">
        <v>0</v>
      </c>
      <c r="F464">
        <v>5</v>
      </c>
      <c r="G464">
        <v>1</v>
      </c>
      <c r="H464">
        <v>0.2</v>
      </c>
      <c r="I464" t="s">
        <v>5</v>
      </c>
      <c r="J464" t="s">
        <v>19</v>
      </c>
      <c r="K464" t="s">
        <v>20</v>
      </c>
      <c r="L464">
        <v>0.51</v>
      </c>
      <c r="M464">
        <v>2</v>
      </c>
      <c r="N464">
        <v>66</v>
      </c>
      <c r="O464">
        <v>68</v>
      </c>
      <c r="P464" s="2">
        <v>0.18179999999999999</v>
      </c>
      <c r="Q464" s="2">
        <v>0.28360000000000002</v>
      </c>
      <c r="R464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465" spans="1:18" ht="14.25" x14ac:dyDescent="0.2">
      <c r="A465">
        <v>464</v>
      </c>
      <c r="B465" s="5">
        <v>40564</v>
      </c>
      <c r="C465">
        <v>1</v>
      </c>
      <c r="D465">
        <v>8</v>
      </c>
      <c r="E465" t="b">
        <v>0</v>
      </c>
      <c r="F465">
        <v>5</v>
      </c>
      <c r="G465">
        <v>1</v>
      </c>
      <c r="H465">
        <v>0.2</v>
      </c>
      <c r="I465" t="s">
        <v>5</v>
      </c>
      <c r="J465" t="s">
        <v>19</v>
      </c>
      <c r="K465" t="s">
        <v>20</v>
      </c>
      <c r="L465">
        <v>0.47</v>
      </c>
      <c r="M465">
        <v>7</v>
      </c>
      <c r="N465">
        <v>210</v>
      </c>
      <c r="O465">
        <v>217</v>
      </c>
      <c r="P465" s="2">
        <v>0.18179999999999999</v>
      </c>
      <c r="Q465" s="2">
        <v>0.32840000000000003</v>
      </c>
      <c r="R465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466" spans="1:18" ht="14.25" x14ac:dyDescent="0.2">
      <c r="A466">
        <v>465</v>
      </c>
      <c r="B466" s="5">
        <v>40564</v>
      </c>
      <c r="C466">
        <v>1</v>
      </c>
      <c r="D466">
        <v>9</v>
      </c>
      <c r="E466" t="b">
        <v>0</v>
      </c>
      <c r="F466">
        <v>5</v>
      </c>
      <c r="G466">
        <v>1</v>
      </c>
      <c r="H466">
        <v>0.2</v>
      </c>
      <c r="I466" t="s">
        <v>5</v>
      </c>
      <c r="J466" t="s">
        <v>19</v>
      </c>
      <c r="K466" t="s">
        <v>20</v>
      </c>
      <c r="L466">
        <v>0.51</v>
      </c>
      <c r="M466">
        <v>7</v>
      </c>
      <c r="N466">
        <v>159</v>
      </c>
      <c r="O466">
        <v>166</v>
      </c>
      <c r="P466" s="2">
        <v>0.18179999999999999</v>
      </c>
      <c r="Q466" s="2">
        <v>0.35820000000000002</v>
      </c>
      <c r="R466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467" spans="1:18" ht="14.25" x14ac:dyDescent="0.2">
      <c r="A467">
        <v>466</v>
      </c>
      <c r="B467" s="5">
        <v>40564</v>
      </c>
      <c r="C467">
        <v>1</v>
      </c>
      <c r="D467">
        <v>10</v>
      </c>
      <c r="E467" t="b">
        <v>0</v>
      </c>
      <c r="F467">
        <v>5</v>
      </c>
      <c r="G467">
        <v>1</v>
      </c>
      <c r="H467">
        <v>0.2</v>
      </c>
      <c r="I467" t="s">
        <v>5</v>
      </c>
      <c r="J467" t="s">
        <v>19</v>
      </c>
      <c r="K467" t="s">
        <v>20</v>
      </c>
      <c r="L467">
        <v>0.47</v>
      </c>
      <c r="M467">
        <v>6</v>
      </c>
      <c r="N467">
        <v>57</v>
      </c>
      <c r="O467">
        <v>63</v>
      </c>
      <c r="P467" s="2">
        <v>0.16669999999999999</v>
      </c>
      <c r="Q467" s="2">
        <v>0.4627</v>
      </c>
      <c r="R467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468" spans="1:18" ht="14.25" x14ac:dyDescent="0.2">
      <c r="A468">
        <v>467</v>
      </c>
      <c r="B468" s="5">
        <v>40564</v>
      </c>
      <c r="C468">
        <v>1</v>
      </c>
      <c r="D468">
        <v>11</v>
      </c>
      <c r="E468" t="b">
        <v>0</v>
      </c>
      <c r="F468">
        <v>5</v>
      </c>
      <c r="G468">
        <v>1</v>
      </c>
      <c r="H468">
        <v>0.22</v>
      </c>
      <c r="I468" t="s">
        <v>5</v>
      </c>
      <c r="J468" t="s">
        <v>19</v>
      </c>
      <c r="K468" t="s">
        <v>20</v>
      </c>
      <c r="L468">
        <v>0.41</v>
      </c>
      <c r="M468">
        <v>6</v>
      </c>
      <c r="N468">
        <v>53</v>
      </c>
      <c r="O468">
        <v>59</v>
      </c>
      <c r="P468" s="2">
        <v>0.18179999999999999</v>
      </c>
      <c r="Q468" s="2">
        <v>0.4627</v>
      </c>
      <c r="R468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469" spans="1:18" ht="14.25" x14ac:dyDescent="0.2">
      <c r="A469">
        <v>468</v>
      </c>
      <c r="B469" s="5">
        <v>40564</v>
      </c>
      <c r="C469">
        <v>1</v>
      </c>
      <c r="D469">
        <v>12</v>
      </c>
      <c r="E469" t="b">
        <v>0</v>
      </c>
      <c r="F469">
        <v>5</v>
      </c>
      <c r="G469">
        <v>1</v>
      </c>
      <c r="H469">
        <v>0.22</v>
      </c>
      <c r="I469" t="s">
        <v>5</v>
      </c>
      <c r="J469" t="s">
        <v>19</v>
      </c>
      <c r="K469" t="s">
        <v>22</v>
      </c>
      <c r="L469">
        <v>0.27</v>
      </c>
      <c r="M469">
        <v>11</v>
      </c>
      <c r="N469">
        <v>67</v>
      </c>
      <c r="O469">
        <v>78</v>
      </c>
      <c r="P469" s="2">
        <v>0.18179999999999999</v>
      </c>
      <c r="Q469" s="2">
        <v>0.58209999999999995</v>
      </c>
      <c r="R469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470" spans="1:18" ht="14.25" x14ac:dyDescent="0.2">
      <c r="A470">
        <v>469</v>
      </c>
      <c r="B470" s="5">
        <v>40564</v>
      </c>
      <c r="C470">
        <v>1</v>
      </c>
      <c r="D470">
        <v>13</v>
      </c>
      <c r="E470" t="b">
        <v>0</v>
      </c>
      <c r="F470">
        <v>5</v>
      </c>
      <c r="G470">
        <v>1</v>
      </c>
      <c r="H470">
        <v>0.2</v>
      </c>
      <c r="I470" t="s">
        <v>5</v>
      </c>
      <c r="J470" t="s">
        <v>19</v>
      </c>
      <c r="K470" t="s">
        <v>22</v>
      </c>
      <c r="L470">
        <v>0.21</v>
      </c>
      <c r="M470">
        <v>8</v>
      </c>
      <c r="N470">
        <v>65</v>
      </c>
      <c r="O470">
        <v>73</v>
      </c>
      <c r="P470" s="2">
        <v>0.1515</v>
      </c>
      <c r="Q470" s="2">
        <v>0.58209999999999995</v>
      </c>
      <c r="R470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471" spans="1:18" ht="14.25" x14ac:dyDescent="0.2">
      <c r="A471">
        <v>470</v>
      </c>
      <c r="B471" s="5">
        <v>40564</v>
      </c>
      <c r="C471">
        <v>1</v>
      </c>
      <c r="D471">
        <v>14</v>
      </c>
      <c r="E471" t="b">
        <v>0</v>
      </c>
      <c r="F471">
        <v>5</v>
      </c>
      <c r="G471">
        <v>1</v>
      </c>
      <c r="H471">
        <v>0.2</v>
      </c>
      <c r="I471" t="s">
        <v>5</v>
      </c>
      <c r="J471" t="s">
        <v>19</v>
      </c>
      <c r="K471" t="s">
        <v>22</v>
      </c>
      <c r="L471">
        <v>0.25</v>
      </c>
      <c r="M471">
        <v>6</v>
      </c>
      <c r="N471">
        <v>56</v>
      </c>
      <c r="O471">
        <v>62</v>
      </c>
      <c r="P471" s="2">
        <v>0.1515</v>
      </c>
      <c r="Q471" s="2">
        <v>0.52239999999999998</v>
      </c>
      <c r="R471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472" spans="1:18" ht="14.25" x14ac:dyDescent="0.2">
      <c r="A472">
        <v>471</v>
      </c>
      <c r="B472" s="5">
        <v>40564</v>
      </c>
      <c r="C472">
        <v>1</v>
      </c>
      <c r="D472">
        <v>15</v>
      </c>
      <c r="E472" t="b">
        <v>0</v>
      </c>
      <c r="F472">
        <v>5</v>
      </c>
      <c r="G472">
        <v>1</v>
      </c>
      <c r="H472">
        <v>0.16</v>
      </c>
      <c r="I472" t="s">
        <v>5</v>
      </c>
      <c r="J472" t="s">
        <v>19</v>
      </c>
      <c r="K472" t="s">
        <v>22</v>
      </c>
      <c r="L472">
        <v>0.26</v>
      </c>
      <c r="M472">
        <v>4</v>
      </c>
      <c r="N472">
        <v>61</v>
      </c>
      <c r="O472">
        <v>65</v>
      </c>
      <c r="P472" s="2">
        <v>0.1212</v>
      </c>
      <c r="Q472" s="2">
        <v>0.44779999999999998</v>
      </c>
      <c r="R472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473" spans="1:18" ht="14.25" x14ac:dyDescent="0.2">
      <c r="A473">
        <v>472</v>
      </c>
      <c r="B473" s="5">
        <v>40564</v>
      </c>
      <c r="C473">
        <v>1</v>
      </c>
      <c r="D473">
        <v>16</v>
      </c>
      <c r="E473" t="b">
        <v>0</v>
      </c>
      <c r="F473">
        <v>5</v>
      </c>
      <c r="G473">
        <v>1</v>
      </c>
      <c r="H473">
        <v>0.16</v>
      </c>
      <c r="I473" t="s">
        <v>5</v>
      </c>
      <c r="J473" t="s">
        <v>19</v>
      </c>
      <c r="K473" t="s">
        <v>22</v>
      </c>
      <c r="L473">
        <v>0.26</v>
      </c>
      <c r="M473">
        <v>0</v>
      </c>
      <c r="N473">
        <v>97</v>
      </c>
      <c r="O473">
        <v>97</v>
      </c>
      <c r="P473" s="2">
        <v>0.13639999999999999</v>
      </c>
      <c r="Q473" s="2">
        <v>0.35820000000000002</v>
      </c>
      <c r="R473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474" spans="1:18" ht="14.25" x14ac:dyDescent="0.2">
      <c r="A474">
        <v>473</v>
      </c>
      <c r="B474" s="5">
        <v>40564</v>
      </c>
      <c r="C474">
        <v>1</v>
      </c>
      <c r="D474">
        <v>17</v>
      </c>
      <c r="E474" t="b">
        <v>0</v>
      </c>
      <c r="F474">
        <v>5</v>
      </c>
      <c r="G474">
        <v>1</v>
      </c>
      <c r="H474">
        <v>0.14000000000000001</v>
      </c>
      <c r="I474" t="s">
        <v>5</v>
      </c>
      <c r="J474" t="s">
        <v>19</v>
      </c>
      <c r="K474" t="s">
        <v>23</v>
      </c>
      <c r="L474">
        <v>0.28000000000000003</v>
      </c>
      <c r="M474">
        <v>10</v>
      </c>
      <c r="N474">
        <v>151</v>
      </c>
      <c r="O474">
        <v>161</v>
      </c>
      <c r="P474" s="2">
        <v>0.1212</v>
      </c>
      <c r="Q474" s="2">
        <v>0.35820000000000002</v>
      </c>
      <c r="R474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475" spans="1:18" ht="14.25" x14ac:dyDescent="0.2">
      <c r="A475">
        <v>474</v>
      </c>
      <c r="B475" s="5">
        <v>40564</v>
      </c>
      <c r="C475">
        <v>1</v>
      </c>
      <c r="D475">
        <v>18</v>
      </c>
      <c r="E475" t="b">
        <v>0</v>
      </c>
      <c r="F475">
        <v>5</v>
      </c>
      <c r="G475">
        <v>1</v>
      </c>
      <c r="H475">
        <v>0.12</v>
      </c>
      <c r="I475" t="s">
        <v>5</v>
      </c>
      <c r="J475" t="s">
        <v>19</v>
      </c>
      <c r="K475" t="s">
        <v>23</v>
      </c>
      <c r="L475">
        <v>0.3</v>
      </c>
      <c r="M475">
        <v>1</v>
      </c>
      <c r="N475">
        <v>119</v>
      </c>
      <c r="O475">
        <v>120</v>
      </c>
      <c r="P475" s="2">
        <v>0.1212</v>
      </c>
      <c r="Q475" s="2">
        <v>0.25369999999999998</v>
      </c>
      <c r="R475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476" spans="1:18" ht="14.25" x14ac:dyDescent="0.2">
      <c r="A476">
        <v>475</v>
      </c>
      <c r="B476" s="5">
        <v>40564</v>
      </c>
      <c r="C476">
        <v>1</v>
      </c>
      <c r="D476">
        <v>19</v>
      </c>
      <c r="E476" t="b">
        <v>0</v>
      </c>
      <c r="F476">
        <v>5</v>
      </c>
      <c r="G476">
        <v>1</v>
      </c>
      <c r="H476">
        <v>0.12</v>
      </c>
      <c r="I476" t="s">
        <v>5</v>
      </c>
      <c r="J476" t="s">
        <v>19</v>
      </c>
      <c r="K476" t="s">
        <v>23</v>
      </c>
      <c r="L476">
        <v>0.3</v>
      </c>
      <c r="M476">
        <v>3</v>
      </c>
      <c r="N476">
        <v>93</v>
      </c>
      <c r="O476">
        <v>96</v>
      </c>
      <c r="P476" s="2">
        <v>0.1061</v>
      </c>
      <c r="Q476" s="2">
        <v>0.32840000000000003</v>
      </c>
      <c r="R476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477" spans="1:18" ht="14.25" x14ac:dyDescent="0.2">
      <c r="A477">
        <v>476</v>
      </c>
      <c r="B477" s="5">
        <v>40564</v>
      </c>
      <c r="C477">
        <v>1</v>
      </c>
      <c r="D477">
        <v>20</v>
      </c>
      <c r="E477" t="b">
        <v>0</v>
      </c>
      <c r="F477">
        <v>5</v>
      </c>
      <c r="G477">
        <v>1</v>
      </c>
      <c r="H477">
        <v>0.1</v>
      </c>
      <c r="I477" t="s">
        <v>5</v>
      </c>
      <c r="J477" t="s">
        <v>19</v>
      </c>
      <c r="K477" t="s">
        <v>23</v>
      </c>
      <c r="L477">
        <v>0.33</v>
      </c>
      <c r="M477">
        <v>1</v>
      </c>
      <c r="N477">
        <v>52</v>
      </c>
      <c r="O477">
        <v>53</v>
      </c>
      <c r="P477" s="2">
        <v>7.5800000000000006E-2</v>
      </c>
      <c r="Q477" s="2">
        <v>0.41789999999999999</v>
      </c>
      <c r="R477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478" spans="1:18" ht="14.25" x14ac:dyDescent="0.2">
      <c r="A478">
        <v>477</v>
      </c>
      <c r="B478" s="5">
        <v>40564</v>
      </c>
      <c r="C478">
        <v>1</v>
      </c>
      <c r="D478">
        <v>21</v>
      </c>
      <c r="E478" t="b">
        <v>0</v>
      </c>
      <c r="F478">
        <v>5</v>
      </c>
      <c r="G478">
        <v>1</v>
      </c>
      <c r="H478">
        <v>0.08</v>
      </c>
      <c r="I478" t="s">
        <v>5</v>
      </c>
      <c r="J478" t="s">
        <v>19</v>
      </c>
      <c r="K478" t="s">
        <v>25</v>
      </c>
      <c r="L478">
        <v>0.38</v>
      </c>
      <c r="M478">
        <v>0</v>
      </c>
      <c r="N478">
        <v>41</v>
      </c>
      <c r="O478">
        <v>41</v>
      </c>
      <c r="P478" s="2">
        <v>7.5800000000000006E-2</v>
      </c>
      <c r="Q478" s="2">
        <v>0.28360000000000002</v>
      </c>
      <c r="R478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479" spans="1:18" ht="14.25" x14ac:dyDescent="0.2">
      <c r="A479">
        <v>478</v>
      </c>
      <c r="B479" s="5">
        <v>40564</v>
      </c>
      <c r="C479">
        <v>1</v>
      </c>
      <c r="D479">
        <v>22</v>
      </c>
      <c r="E479" t="b">
        <v>0</v>
      </c>
      <c r="F479">
        <v>5</v>
      </c>
      <c r="G479">
        <v>1</v>
      </c>
      <c r="H479">
        <v>0.06</v>
      </c>
      <c r="I479" t="s">
        <v>5</v>
      </c>
      <c r="J479" t="s">
        <v>19</v>
      </c>
      <c r="K479" t="s">
        <v>25</v>
      </c>
      <c r="L479">
        <v>0.41</v>
      </c>
      <c r="M479">
        <v>1</v>
      </c>
      <c r="N479">
        <v>33</v>
      </c>
      <c r="O479">
        <v>34</v>
      </c>
      <c r="P479" s="2">
        <v>3.0300000000000001E-2</v>
      </c>
      <c r="Q479" s="2">
        <v>0.3881</v>
      </c>
      <c r="R479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480" spans="1:18" ht="14.25" x14ac:dyDescent="0.2">
      <c r="A480">
        <v>479</v>
      </c>
      <c r="B480" s="5">
        <v>40564</v>
      </c>
      <c r="C480">
        <v>1</v>
      </c>
      <c r="D480">
        <v>23</v>
      </c>
      <c r="E480" t="b">
        <v>0</v>
      </c>
      <c r="F480">
        <v>5</v>
      </c>
      <c r="G480">
        <v>1</v>
      </c>
      <c r="H480">
        <v>0.06</v>
      </c>
      <c r="I480" t="s">
        <v>5</v>
      </c>
      <c r="J480" t="s">
        <v>19</v>
      </c>
      <c r="K480" t="s">
        <v>25</v>
      </c>
      <c r="L480">
        <v>0.38</v>
      </c>
      <c r="M480">
        <v>0</v>
      </c>
      <c r="N480">
        <v>27</v>
      </c>
      <c r="O480">
        <v>27</v>
      </c>
      <c r="P480" s="2">
        <v>4.5499999999999999E-2</v>
      </c>
      <c r="Q480" s="2">
        <v>0.32840000000000003</v>
      </c>
      <c r="R480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481" spans="1:18" ht="14.25" x14ac:dyDescent="0.2">
      <c r="A481">
        <v>480</v>
      </c>
      <c r="B481" s="5">
        <v>40565</v>
      </c>
      <c r="C481">
        <v>1</v>
      </c>
      <c r="D481">
        <v>0</v>
      </c>
      <c r="E481" t="b">
        <v>0</v>
      </c>
      <c r="F481">
        <v>6</v>
      </c>
      <c r="G481">
        <v>1</v>
      </c>
      <c r="H481">
        <v>0.04</v>
      </c>
      <c r="I481" t="s">
        <v>18</v>
      </c>
      <c r="J481" t="s">
        <v>19</v>
      </c>
      <c r="K481" t="s">
        <v>20</v>
      </c>
      <c r="L481">
        <v>0.45</v>
      </c>
      <c r="M481">
        <v>0</v>
      </c>
      <c r="N481">
        <v>13</v>
      </c>
      <c r="O481">
        <v>13</v>
      </c>
      <c r="P481" s="2">
        <v>3.0300000000000001E-2</v>
      </c>
      <c r="Q481" s="2">
        <v>0.25369999999999998</v>
      </c>
      <c r="R481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482" spans="1:18" ht="14.25" x14ac:dyDescent="0.2">
      <c r="A482">
        <v>481</v>
      </c>
      <c r="B482" s="5">
        <v>40565</v>
      </c>
      <c r="C482">
        <v>1</v>
      </c>
      <c r="D482">
        <v>1</v>
      </c>
      <c r="E482" t="b">
        <v>0</v>
      </c>
      <c r="F482">
        <v>6</v>
      </c>
      <c r="G482">
        <v>2</v>
      </c>
      <c r="H482">
        <v>0.04</v>
      </c>
      <c r="I482" t="s">
        <v>18</v>
      </c>
      <c r="J482" t="s">
        <v>21</v>
      </c>
      <c r="K482" t="s">
        <v>20</v>
      </c>
      <c r="L482">
        <v>0.41</v>
      </c>
      <c r="M482">
        <v>3</v>
      </c>
      <c r="N482">
        <v>9</v>
      </c>
      <c r="O482">
        <v>12</v>
      </c>
      <c r="P482" s="2">
        <v>0</v>
      </c>
      <c r="Q482" s="2">
        <v>0.3881</v>
      </c>
      <c r="R482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483" spans="1:18" ht="14.25" x14ac:dyDescent="0.2">
      <c r="A483">
        <v>482</v>
      </c>
      <c r="B483" s="5">
        <v>40565</v>
      </c>
      <c r="C483">
        <v>1</v>
      </c>
      <c r="D483">
        <v>2</v>
      </c>
      <c r="E483" t="b">
        <v>0</v>
      </c>
      <c r="F483">
        <v>6</v>
      </c>
      <c r="G483">
        <v>2</v>
      </c>
      <c r="H483">
        <v>0.04</v>
      </c>
      <c r="I483" t="s">
        <v>18</v>
      </c>
      <c r="J483" t="s">
        <v>21</v>
      </c>
      <c r="K483" t="s">
        <v>20</v>
      </c>
      <c r="L483">
        <v>0.41</v>
      </c>
      <c r="M483">
        <v>0</v>
      </c>
      <c r="N483">
        <v>11</v>
      </c>
      <c r="O483">
        <v>11</v>
      </c>
      <c r="P483" s="2">
        <v>3.0300000000000001E-2</v>
      </c>
      <c r="Q483" s="2">
        <v>0.25369999999999998</v>
      </c>
      <c r="R483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484" spans="1:18" ht="14.25" x14ac:dyDescent="0.2">
      <c r="A484">
        <v>483</v>
      </c>
      <c r="B484" s="5">
        <v>40565</v>
      </c>
      <c r="C484">
        <v>1</v>
      </c>
      <c r="D484">
        <v>3</v>
      </c>
      <c r="E484" t="b">
        <v>0</v>
      </c>
      <c r="F484">
        <v>6</v>
      </c>
      <c r="G484">
        <v>2</v>
      </c>
      <c r="H484">
        <v>0.04</v>
      </c>
      <c r="I484" t="s">
        <v>18</v>
      </c>
      <c r="J484" t="s">
        <v>21</v>
      </c>
      <c r="K484" t="s">
        <v>20</v>
      </c>
      <c r="L484">
        <v>0.41</v>
      </c>
      <c r="M484">
        <v>1</v>
      </c>
      <c r="N484">
        <v>6</v>
      </c>
      <c r="O484">
        <v>7</v>
      </c>
      <c r="P484" s="2">
        <v>3.0300000000000001E-2</v>
      </c>
      <c r="Q484" s="2">
        <v>0.28360000000000002</v>
      </c>
      <c r="R484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485" spans="1:18" ht="14.25" x14ac:dyDescent="0.2">
      <c r="A485">
        <v>484</v>
      </c>
      <c r="B485" s="5">
        <v>40565</v>
      </c>
      <c r="C485">
        <v>1</v>
      </c>
      <c r="D485">
        <v>4</v>
      </c>
      <c r="E485" t="b">
        <v>0</v>
      </c>
      <c r="F485">
        <v>6</v>
      </c>
      <c r="G485">
        <v>2</v>
      </c>
      <c r="H485">
        <v>0.02</v>
      </c>
      <c r="I485" t="s">
        <v>18</v>
      </c>
      <c r="J485" t="s">
        <v>21</v>
      </c>
      <c r="K485" t="s">
        <v>20</v>
      </c>
      <c r="L485">
        <v>0.48</v>
      </c>
      <c r="M485">
        <v>0</v>
      </c>
      <c r="N485">
        <v>3</v>
      </c>
      <c r="O485">
        <v>3</v>
      </c>
      <c r="P485" s="2">
        <v>1.52E-2</v>
      </c>
      <c r="Q485" s="2">
        <v>0.29849999999999999</v>
      </c>
      <c r="R485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486" spans="1:18" ht="14.25" x14ac:dyDescent="0.2">
      <c r="A486">
        <v>485</v>
      </c>
      <c r="B486" s="5">
        <v>40565</v>
      </c>
      <c r="C486">
        <v>1</v>
      </c>
      <c r="D486">
        <v>6</v>
      </c>
      <c r="E486" t="b">
        <v>0</v>
      </c>
      <c r="F486">
        <v>6</v>
      </c>
      <c r="G486">
        <v>2</v>
      </c>
      <c r="H486">
        <v>0.02</v>
      </c>
      <c r="I486" t="s">
        <v>18</v>
      </c>
      <c r="J486" t="s">
        <v>21</v>
      </c>
      <c r="K486" t="s">
        <v>20</v>
      </c>
      <c r="L486">
        <v>0.44</v>
      </c>
      <c r="M486">
        <v>0</v>
      </c>
      <c r="N486">
        <v>2</v>
      </c>
      <c r="O486">
        <v>2</v>
      </c>
      <c r="P486" s="2">
        <v>3.0300000000000001E-2</v>
      </c>
      <c r="Q486" s="2">
        <v>0.22389999999999999</v>
      </c>
      <c r="R486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487" spans="1:18" ht="14.25" x14ac:dyDescent="0.2">
      <c r="A487">
        <v>486</v>
      </c>
      <c r="B487" s="5">
        <v>40565</v>
      </c>
      <c r="C487">
        <v>1</v>
      </c>
      <c r="D487">
        <v>7</v>
      </c>
      <c r="E487" t="b">
        <v>0</v>
      </c>
      <c r="F487">
        <v>6</v>
      </c>
      <c r="G487">
        <v>1</v>
      </c>
      <c r="H487">
        <v>0.02</v>
      </c>
      <c r="I487" t="s">
        <v>18</v>
      </c>
      <c r="J487" t="s">
        <v>19</v>
      </c>
      <c r="K487" t="s">
        <v>20</v>
      </c>
      <c r="L487">
        <v>0.44</v>
      </c>
      <c r="M487">
        <v>0</v>
      </c>
      <c r="N487">
        <v>8</v>
      </c>
      <c r="O487">
        <v>8</v>
      </c>
      <c r="P487" s="2">
        <v>1.52E-2</v>
      </c>
      <c r="Q487" s="2">
        <v>0.28360000000000002</v>
      </c>
      <c r="R487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488" spans="1:18" ht="14.25" x14ac:dyDescent="0.2">
      <c r="A488">
        <v>487</v>
      </c>
      <c r="B488" s="5">
        <v>40565</v>
      </c>
      <c r="C488">
        <v>1</v>
      </c>
      <c r="D488">
        <v>8</v>
      </c>
      <c r="E488" t="b">
        <v>0</v>
      </c>
      <c r="F488">
        <v>6</v>
      </c>
      <c r="G488">
        <v>1</v>
      </c>
      <c r="H488">
        <v>0.02</v>
      </c>
      <c r="I488" t="s">
        <v>18</v>
      </c>
      <c r="J488" t="s">
        <v>19</v>
      </c>
      <c r="K488" t="s">
        <v>20</v>
      </c>
      <c r="L488">
        <v>0.44</v>
      </c>
      <c r="M488">
        <v>1</v>
      </c>
      <c r="N488">
        <v>26</v>
      </c>
      <c r="O488">
        <v>27</v>
      </c>
      <c r="P488" s="2">
        <v>0</v>
      </c>
      <c r="Q488" s="2">
        <v>0.32840000000000003</v>
      </c>
      <c r="R488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489" spans="1:18" ht="14.25" x14ac:dyDescent="0.2">
      <c r="A489">
        <v>488</v>
      </c>
      <c r="B489" s="5">
        <v>40565</v>
      </c>
      <c r="C489">
        <v>1</v>
      </c>
      <c r="D489">
        <v>9</v>
      </c>
      <c r="E489" t="b">
        <v>0</v>
      </c>
      <c r="F489">
        <v>6</v>
      </c>
      <c r="G489">
        <v>1</v>
      </c>
      <c r="H489">
        <v>0.04</v>
      </c>
      <c r="I489" t="s">
        <v>18</v>
      </c>
      <c r="J489" t="s">
        <v>19</v>
      </c>
      <c r="K489" t="s">
        <v>20</v>
      </c>
      <c r="L489">
        <v>0.41</v>
      </c>
      <c r="M489">
        <v>3</v>
      </c>
      <c r="N489">
        <v>37</v>
      </c>
      <c r="O489">
        <v>40</v>
      </c>
      <c r="P489" s="2">
        <v>3.0300000000000001E-2</v>
      </c>
      <c r="Q489" s="2">
        <v>0.25369999999999998</v>
      </c>
      <c r="R489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490" spans="1:18" ht="14.25" x14ac:dyDescent="0.2">
      <c r="A490">
        <v>489</v>
      </c>
      <c r="B490" s="5">
        <v>40565</v>
      </c>
      <c r="C490">
        <v>1</v>
      </c>
      <c r="D490">
        <v>10</v>
      </c>
      <c r="E490" t="b">
        <v>0</v>
      </c>
      <c r="F490">
        <v>6</v>
      </c>
      <c r="G490">
        <v>2</v>
      </c>
      <c r="H490">
        <v>0.04</v>
      </c>
      <c r="I490" t="s">
        <v>18</v>
      </c>
      <c r="J490" t="s">
        <v>21</v>
      </c>
      <c r="K490" t="s">
        <v>20</v>
      </c>
      <c r="L490">
        <v>0.41</v>
      </c>
      <c r="M490">
        <v>3</v>
      </c>
      <c r="N490">
        <v>50</v>
      </c>
      <c r="O490">
        <v>53</v>
      </c>
      <c r="P490" s="2">
        <v>6.0600000000000001E-2</v>
      </c>
      <c r="Q490" s="2">
        <v>0.16420000000000001</v>
      </c>
      <c r="R490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491" spans="1:18" ht="14.25" x14ac:dyDescent="0.2">
      <c r="A491">
        <v>490</v>
      </c>
      <c r="B491" s="5">
        <v>40565</v>
      </c>
      <c r="C491">
        <v>1</v>
      </c>
      <c r="D491">
        <v>11</v>
      </c>
      <c r="E491" t="b">
        <v>0</v>
      </c>
      <c r="F491">
        <v>6</v>
      </c>
      <c r="G491">
        <v>2</v>
      </c>
      <c r="H491">
        <v>0.06</v>
      </c>
      <c r="I491" t="s">
        <v>18</v>
      </c>
      <c r="J491" t="s">
        <v>21</v>
      </c>
      <c r="K491" t="s">
        <v>20</v>
      </c>
      <c r="L491">
        <v>0.38</v>
      </c>
      <c r="M491">
        <v>4</v>
      </c>
      <c r="N491">
        <v>59</v>
      </c>
      <c r="O491">
        <v>63</v>
      </c>
      <c r="P491" s="2">
        <v>7.5800000000000006E-2</v>
      </c>
      <c r="Q491" s="2">
        <v>0.1343</v>
      </c>
      <c r="R491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492" spans="1:18" ht="14.25" x14ac:dyDescent="0.2">
      <c r="A492">
        <v>491</v>
      </c>
      <c r="B492" s="5">
        <v>40565</v>
      </c>
      <c r="C492">
        <v>1</v>
      </c>
      <c r="D492">
        <v>12</v>
      </c>
      <c r="E492" t="b">
        <v>0</v>
      </c>
      <c r="F492">
        <v>6</v>
      </c>
      <c r="G492">
        <v>2</v>
      </c>
      <c r="H492">
        <v>0.06</v>
      </c>
      <c r="I492" t="s">
        <v>18</v>
      </c>
      <c r="J492" t="s">
        <v>21</v>
      </c>
      <c r="K492" t="s">
        <v>22</v>
      </c>
      <c r="L492">
        <v>0.38</v>
      </c>
      <c r="M492">
        <v>10</v>
      </c>
      <c r="N492">
        <v>60</v>
      </c>
      <c r="O492">
        <v>70</v>
      </c>
      <c r="P492" s="2">
        <v>0.1061</v>
      </c>
      <c r="Q492" s="2">
        <v>0.1045</v>
      </c>
      <c r="R492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493" spans="1:18" ht="14.25" x14ac:dyDescent="0.2">
      <c r="A493">
        <v>492</v>
      </c>
      <c r="B493" s="5">
        <v>40565</v>
      </c>
      <c r="C493">
        <v>1</v>
      </c>
      <c r="D493">
        <v>13</v>
      </c>
      <c r="E493" t="b">
        <v>0</v>
      </c>
      <c r="F493">
        <v>6</v>
      </c>
      <c r="G493">
        <v>1</v>
      </c>
      <c r="H493">
        <v>0.08</v>
      </c>
      <c r="I493" t="s">
        <v>18</v>
      </c>
      <c r="J493" t="s">
        <v>19</v>
      </c>
      <c r="K493" t="s">
        <v>22</v>
      </c>
      <c r="L493">
        <v>0.35</v>
      </c>
      <c r="M493">
        <v>12</v>
      </c>
      <c r="N493">
        <v>72</v>
      </c>
      <c r="O493">
        <v>84</v>
      </c>
      <c r="P493" s="2">
        <v>0.16669999999999999</v>
      </c>
      <c r="Q493" s="2">
        <v>0</v>
      </c>
      <c r="R493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494" spans="1:18" ht="14.25" x14ac:dyDescent="0.2">
      <c r="A494">
        <v>493</v>
      </c>
      <c r="B494" s="5">
        <v>40565</v>
      </c>
      <c r="C494">
        <v>1</v>
      </c>
      <c r="D494">
        <v>14</v>
      </c>
      <c r="E494" t="b">
        <v>0</v>
      </c>
      <c r="F494">
        <v>6</v>
      </c>
      <c r="G494">
        <v>1</v>
      </c>
      <c r="H494">
        <v>0.1</v>
      </c>
      <c r="I494" t="s">
        <v>18</v>
      </c>
      <c r="J494" t="s">
        <v>19</v>
      </c>
      <c r="K494" t="s">
        <v>22</v>
      </c>
      <c r="L494">
        <v>0.33</v>
      </c>
      <c r="M494">
        <v>11</v>
      </c>
      <c r="N494">
        <v>64</v>
      </c>
      <c r="O494">
        <v>75</v>
      </c>
      <c r="P494" s="2">
        <v>0.13639999999999999</v>
      </c>
      <c r="Q494" s="2">
        <v>0.1045</v>
      </c>
      <c r="R494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495" spans="1:18" ht="14.25" x14ac:dyDescent="0.2">
      <c r="A495">
        <v>494</v>
      </c>
      <c r="B495" s="5">
        <v>40565</v>
      </c>
      <c r="C495">
        <v>1</v>
      </c>
      <c r="D495">
        <v>15</v>
      </c>
      <c r="E495" t="b">
        <v>0</v>
      </c>
      <c r="F495">
        <v>6</v>
      </c>
      <c r="G495">
        <v>1</v>
      </c>
      <c r="H495">
        <v>0.12</v>
      </c>
      <c r="I495" t="s">
        <v>18</v>
      </c>
      <c r="J495" t="s">
        <v>19</v>
      </c>
      <c r="K495" t="s">
        <v>22</v>
      </c>
      <c r="L495">
        <v>0.28000000000000003</v>
      </c>
      <c r="M495">
        <v>10</v>
      </c>
      <c r="N495">
        <v>93</v>
      </c>
      <c r="O495">
        <v>103</v>
      </c>
      <c r="P495" s="2">
        <v>0.1515</v>
      </c>
      <c r="Q495" s="2">
        <v>0</v>
      </c>
      <c r="R495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496" spans="1:18" ht="14.25" x14ac:dyDescent="0.2">
      <c r="A496">
        <v>495</v>
      </c>
      <c r="B496" s="5">
        <v>40565</v>
      </c>
      <c r="C496">
        <v>1</v>
      </c>
      <c r="D496">
        <v>16</v>
      </c>
      <c r="E496" t="b">
        <v>0</v>
      </c>
      <c r="F496">
        <v>6</v>
      </c>
      <c r="G496">
        <v>1</v>
      </c>
      <c r="H496">
        <v>0.12</v>
      </c>
      <c r="I496" t="s">
        <v>18</v>
      </c>
      <c r="J496" t="s">
        <v>19</v>
      </c>
      <c r="K496" t="s">
        <v>22</v>
      </c>
      <c r="L496">
        <v>0.28000000000000003</v>
      </c>
      <c r="M496">
        <v>11</v>
      </c>
      <c r="N496">
        <v>72</v>
      </c>
      <c r="O496">
        <v>83</v>
      </c>
      <c r="P496" s="2">
        <v>0.13639999999999999</v>
      </c>
      <c r="Q496" s="2">
        <v>0.19400000000000001</v>
      </c>
      <c r="R496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497" spans="1:18" ht="14.25" x14ac:dyDescent="0.2">
      <c r="A497">
        <v>496</v>
      </c>
      <c r="B497" s="5">
        <v>40565</v>
      </c>
      <c r="C497">
        <v>1</v>
      </c>
      <c r="D497">
        <v>17</v>
      </c>
      <c r="E497" t="b">
        <v>0</v>
      </c>
      <c r="F497">
        <v>6</v>
      </c>
      <c r="G497">
        <v>1</v>
      </c>
      <c r="H497">
        <v>0.12</v>
      </c>
      <c r="I497" t="s">
        <v>18</v>
      </c>
      <c r="J497" t="s">
        <v>19</v>
      </c>
      <c r="K497" t="s">
        <v>23</v>
      </c>
      <c r="L497">
        <v>0.28000000000000003</v>
      </c>
      <c r="M497">
        <v>8</v>
      </c>
      <c r="N497">
        <v>59</v>
      </c>
      <c r="O497">
        <v>67</v>
      </c>
      <c r="P497" s="2">
        <v>0.19700000000000001</v>
      </c>
      <c r="Q497" s="2">
        <v>0</v>
      </c>
      <c r="R497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498" spans="1:18" ht="14.25" x14ac:dyDescent="0.2">
      <c r="A498">
        <v>497</v>
      </c>
      <c r="B498" s="5">
        <v>40565</v>
      </c>
      <c r="C498">
        <v>1</v>
      </c>
      <c r="D498">
        <v>18</v>
      </c>
      <c r="E498" t="b">
        <v>0</v>
      </c>
      <c r="F498">
        <v>6</v>
      </c>
      <c r="G498">
        <v>1</v>
      </c>
      <c r="H498">
        <v>0.08</v>
      </c>
      <c r="I498" t="s">
        <v>18</v>
      </c>
      <c r="J498" t="s">
        <v>19</v>
      </c>
      <c r="K498" t="s">
        <v>23</v>
      </c>
      <c r="L498">
        <v>0.35</v>
      </c>
      <c r="M498">
        <v>0</v>
      </c>
      <c r="N498">
        <v>54</v>
      </c>
      <c r="O498">
        <v>54</v>
      </c>
      <c r="P498" s="2">
        <v>9.0899999999999995E-2</v>
      </c>
      <c r="Q498" s="2">
        <v>0.19400000000000001</v>
      </c>
      <c r="R498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499" spans="1:18" ht="14.25" x14ac:dyDescent="0.2">
      <c r="A499">
        <v>498</v>
      </c>
      <c r="B499" s="5">
        <v>40565</v>
      </c>
      <c r="C499">
        <v>1</v>
      </c>
      <c r="D499">
        <v>19</v>
      </c>
      <c r="E499" t="b">
        <v>0</v>
      </c>
      <c r="F499">
        <v>6</v>
      </c>
      <c r="G499">
        <v>1</v>
      </c>
      <c r="H499">
        <v>0.08</v>
      </c>
      <c r="I499" t="s">
        <v>18</v>
      </c>
      <c r="J499" t="s">
        <v>19</v>
      </c>
      <c r="K499" t="s">
        <v>23</v>
      </c>
      <c r="L499">
        <v>0.35</v>
      </c>
      <c r="M499">
        <v>6</v>
      </c>
      <c r="N499">
        <v>53</v>
      </c>
      <c r="O499">
        <v>59</v>
      </c>
      <c r="P499" s="2">
        <v>0.1061</v>
      </c>
      <c r="Q499" s="2">
        <v>0.1343</v>
      </c>
      <c r="R499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500" spans="1:18" ht="14.25" x14ac:dyDescent="0.2">
      <c r="A500">
        <v>499</v>
      </c>
      <c r="B500" s="5">
        <v>40565</v>
      </c>
      <c r="C500">
        <v>1</v>
      </c>
      <c r="D500">
        <v>20</v>
      </c>
      <c r="E500" t="b">
        <v>0</v>
      </c>
      <c r="F500">
        <v>6</v>
      </c>
      <c r="G500">
        <v>1</v>
      </c>
      <c r="H500">
        <v>0.06</v>
      </c>
      <c r="I500" t="s">
        <v>18</v>
      </c>
      <c r="J500" t="s">
        <v>19</v>
      </c>
      <c r="K500" t="s">
        <v>23</v>
      </c>
      <c r="L500">
        <v>0.45</v>
      </c>
      <c r="M500">
        <v>1</v>
      </c>
      <c r="N500">
        <v>44</v>
      </c>
      <c r="O500">
        <v>45</v>
      </c>
      <c r="P500" s="2">
        <v>7.5800000000000006E-2</v>
      </c>
      <c r="Q500" s="2">
        <v>0.16420000000000001</v>
      </c>
      <c r="R500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501" spans="1:18" ht="14.25" x14ac:dyDescent="0.2">
      <c r="A501">
        <v>500</v>
      </c>
      <c r="B501" s="5">
        <v>40565</v>
      </c>
      <c r="C501">
        <v>1</v>
      </c>
      <c r="D501">
        <v>21</v>
      </c>
      <c r="E501" t="b">
        <v>0</v>
      </c>
      <c r="F501">
        <v>6</v>
      </c>
      <c r="G501">
        <v>1</v>
      </c>
      <c r="H501">
        <v>0.06</v>
      </c>
      <c r="I501" t="s">
        <v>18</v>
      </c>
      <c r="J501" t="s">
        <v>19</v>
      </c>
      <c r="K501" t="s">
        <v>25</v>
      </c>
      <c r="L501">
        <v>0.41</v>
      </c>
      <c r="M501">
        <v>0</v>
      </c>
      <c r="N501">
        <v>39</v>
      </c>
      <c r="O501">
        <v>39</v>
      </c>
      <c r="P501" s="2">
        <v>0.1061</v>
      </c>
      <c r="Q501" s="2">
        <v>8.9599999999999999E-2</v>
      </c>
      <c r="R501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502" spans="1:18" ht="14.25" x14ac:dyDescent="0.2">
      <c r="A502">
        <v>501</v>
      </c>
      <c r="B502" s="5">
        <v>40565</v>
      </c>
      <c r="C502">
        <v>1</v>
      </c>
      <c r="D502">
        <v>22</v>
      </c>
      <c r="E502" t="b">
        <v>0</v>
      </c>
      <c r="F502">
        <v>6</v>
      </c>
      <c r="G502">
        <v>1</v>
      </c>
      <c r="H502">
        <v>0.06</v>
      </c>
      <c r="I502" t="s">
        <v>18</v>
      </c>
      <c r="J502" t="s">
        <v>19</v>
      </c>
      <c r="K502" t="s">
        <v>25</v>
      </c>
      <c r="L502">
        <v>0.49</v>
      </c>
      <c r="M502">
        <v>7</v>
      </c>
      <c r="N502">
        <v>23</v>
      </c>
      <c r="O502">
        <v>30</v>
      </c>
      <c r="P502" s="2">
        <v>0.1515</v>
      </c>
      <c r="Q502" s="2">
        <v>0</v>
      </c>
      <c r="R502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503" spans="1:18" ht="14.25" x14ac:dyDescent="0.2">
      <c r="A503">
        <v>502</v>
      </c>
      <c r="B503" s="5">
        <v>40565</v>
      </c>
      <c r="C503">
        <v>1</v>
      </c>
      <c r="D503">
        <v>23</v>
      </c>
      <c r="E503" t="b">
        <v>0</v>
      </c>
      <c r="F503">
        <v>6</v>
      </c>
      <c r="G503">
        <v>1</v>
      </c>
      <c r="H503">
        <v>0.04</v>
      </c>
      <c r="I503" t="s">
        <v>18</v>
      </c>
      <c r="J503" t="s">
        <v>19</v>
      </c>
      <c r="K503" t="s">
        <v>25</v>
      </c>
      <c r="L503">
        <v>0.56999999999999995</v>
      </c>
      <c r="M503">
        <v>2</v>
      </c>
      <c r="N503">
        <v>31</v>
      </c>
      <c r="O503">
        <v>33</v>
      </c>
      <c r="P503" s="2">
        <v>7.5800000000000006E-2</v>
      </c>
      <c r="Q503" s="2">
        <v>0.1045</v>
      </c>
      <c r="R503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 xml:space="preserve">Saturday </v>
      </c>
    </row>
    <row r="504" spans="1:18" ht="14.25" x14ac:dyDescent="0.2">
      <c r="A504">
        <v>503</v>
      </c>
      <c r="B504" s="5">
        <v>40566</v>
      </c>
      <c r="C504">
        <v>1</v>
      </c>
      <c r="D504">
        <v>0</v>
      </c>
      <c r="E504" t="b">
        <v>0</v>
      </c>
      <c r="F504">
        <v>0</v>
      </c>
      <c r="G504">
        <v>1</v>
      </c>
      <c r="H504">
        <v>0.04</v>
      </c>
      <c r="I504" t="s">
        <v>5</v>
      </c>
      <c r="J504" t="s">
        <v>19</v>
      </c>
      <c r="K504" t="s">
        <v>20</v>
      </c>
      <c r="L504">
        <v>0.56999999999999995</v>
      </c>
      <c r="M504">
        <v>2</v>
      </c>
      <c r="N504">
        <v>20</v>
      </c>
      <c r="O504">
        <v>22</v>
      </c>
      <c r="P504" s="2">
        <v>7.5800000000000006E-2</v>
      </c>
      <c r="Q504" s="2">
        <v>0.1045</v>
      </c>
      <c r="R504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505" spans="1:18" ht="14.25" x14ac:dyDescent="0.2">
      <c r="A505">
        <v>504</v>
      </c>
      <c r="B505" s="5">
        <v>40566</v>
      </c>
      <c r="C505">
        <v>1</v>
      </c>
      <c r="D505">
        <v>1</v>
      </c>
      <c r="E505" t="b">
        <v>0</v>
      </c>
      <c r="F505">
        <v>0</v>
      </c>
      <c r="G505">
        <v>1</v>
      </c>
      <c r="H505">
        <v>0.04</v>
      </c>
      <c r="I505" t="s">
        <v>5</v>
      </c>
      <c r="J505" t="s">
        <v>19</v>
      </c>
      <c r="K505" t="s">
        <v>20</v>
      </c>
      <c r="L505">
        <v>0.56999999999999995</v>
      </c>
      <c r="M505">
        <v>1</v>
      </c>
      <c r="N505">
        <v>12</v>
      </c>
      <c r="O505">
        <v>13</v>
      </c>
      <c r="P505" s="2">
        <v>7.5800000000000006E-2</v>
      </c>
      <c r="Q505" s="2">
        <v>0.1045</v>
      </c>
      <c r="R505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506" spans="1:18" ht="14.25" x14ac:dyDescent="0.2">
      <c r="A506">
        <v>505</v>
      </c>
      <c r="B506" s="5">
        <v>40566</v>
      </c>
      <c r="C506">
        <v>1</v>
      </c>
      <c r="D506">
        <v>2</v>
      </c>
      <c r="E506" t="b">
        <v>0</v>
      </c>
      <c r="F506">
        <v>0</v>
      </c>
      <c r="G506">
        <v>1</v>
      </c>
      <c r="H506">
        <v>0.02</v>
      </c>
      <c r="I506" t="s">
        <v>5</v>
      </c>
      <c r="J506" t="s">
        <v>19</v>
      </c>
      <c r="K506" t="s">
        <v>20</v>
      </c>
      <c r="L506">
        <v>0.62</v>
      </c>
      <c r="M506">
        <v>3</v>
      </c>
      <c r="N506">
        <v>15</v>
      </c>
      <c r="O506">
        <v>18</v>
      </c>
      <c r="P506" s="2">
        <v>6.0600000000000001E-2</v>
      </c>
      <c r="Q506" s="2">
        <v>0.1343</v>
      </c>
      <c r="R506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507" spans="1:18" ht="14.25" x14ac:dyDescent="0.2">
      <c r="A507">
        <v>506</v>
      </c>
      <c r="B507" s="5">
        <v>40566</v>
      </c>
      <c r="C507">
        <v>1</v>
      </c>
      <c r="D507">
        <v>3</v>
      </c>
      <c r="E507" t="b">
        <v>0</v>
      </c>
      <c r="F507">
        <v>0</v>
      </c>
      <c r="G507">
        <v>1</v>
      </c>
      <c r="H507">
        <v>0.02</v>
      </c>
      <c r="I507" t="s">
        <v>5</v>
      </c>
      <c r="J507" t="s">
        <v>19</v>
      </c>
      <c r="K507" t="s">
        <v>20</v>
      </c>
      <c r="L507">
        <v>0.62</v>
      </c>
      <c r="M507">
        <v>1</v>
      </c>
      <c r="N507">
        <v>4</v>
      </c>
      <c r="O507">
        <v>5</v>
      </c>
      <c r="P507" s="2">
        <v>6.0600000000000001E-2</v>
      </c>
      <c r="Q507" s="2">
        <v>0.1343</v>
      </c>
      <c r="R507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508" spans="1:18" ht="14.25" x14ac:dyDescent="0.2">
      <c r="A508">
        <v>507</v>
      </c>
      <c r="B508" s="5">
        <v>40566</v>
      </c>
      <c r="C508">
        <v>1</v>
      </c>
      <c r="D508">
        <v>5</v>
      </c>
      <c r="E508" t="b">
        <v>0</v>
      </c>
      <c r="F508">
        <v>0</v>
      </c>
      <c r="G508">
        <v>2</v>
      </c>
      <c r="H508">
        <v>0.04</v>
      </c>
      <c r="I508" t="s">
        <v>5</v>
      </c>
      <c r="J508" t="s">
        <v>21</v>
      </c>
      <c r="K508" t="s">
        <v>20</v>
      </c>
      <c r="L508">
        <v>0.56999999999999995</v>
      </c>
      <c r="M508">
        <v>0</v>
      </c>
      <c r="N508">
        <v>3</v>
      </c>
      <c r="O508">
        <v>3</v>
      </c>
      <c r="P508" s="2">
        <v>7.5800000000000006E-2</v>
      </c>
      <c r="Q508" s="2">
        <v>0.1045</v>
      </c>
      <c r="R508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509" spans="1:18" ht="14.25" x14ac:dyDescent="0.2">
      <c r="A509">
        <v>508</v>
      </c>
      <c r="B509" s="5">
        <v>40566</v>
      </c>
      <c r="C509">
        <v>1</v>
      </c>
      <c r="D509">
        <v>6</v>
      </c>
      <c r="E509" t="b">
        <v>0</v>
      </c>
      <c r="F509">
        <v>0</v>
      </c>
      <c r="G509">
        <v>2</v>
      </c>
      <c r="H509">
        <v>0.04</v>
      </c>
      <c r="I509" t="s">
        <v>5</v>
      </c>
      <c r="J509" t="s">
        <v>21</v>
      </c>
      <c r="K509" t="s">
        <v>20</v>
      </c>
      <c r="L509">
        <v>0.56999999999999995</v>
      </c>
      <c r="M509">
        <v>0</v>
      </c>
      <c r="N509">
        <v>1</v>
      </c>
      <c r="O509">
        <v>1</v>
      </c>
      <c r="P509" s="2">
        <v>7.5800000000000006E-2</v>
      </c>
      <c r="Q509" s="2">
        <v>0.1045</v>
      </c>
      <c r="R509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510" spans="1:18" ht="14.25" x14ac:dyDescent="0.2">
      <c r="A510">
        <v>509</v>
      </c>
      <c r="B510" s="5">
        <v>40566</v>
      </c>
      <c r="C510">
        <v>1</v>
      </c>
      <c r="D510">
        <v>7</v>
      </c>
      <c r="E510" t="b">
        <v>0</v>
      </c>
      <c r="F510">
        <v>0</v>
      </c>
      <c r="G510">
        <v>1</v>
      </c>
      <c r="H510">
        <v>0.08</v>
      </c>
      <c r="I510" t="s">
        <v>5</v>
      </c>
      <c r="J510" t="s">
        <v>19</v>
      </c>
      <c r="K510" t="s">
        <v>20</v>
      </c>
      <c r="L510">
        <v>0.57999999999999996</v>
      </c>
      <c r="M510">
        <v>1</v>
      </c>
      <c r="N510">
        <v>1</v>
      </c>
      <c r="O510">
        <v>2</v>
      </c>
      <c r="P510" s="2">
        <v>0.1061</v>
      </c>
      <c r="Q510" s="2">
        <v>0.16420000000000001</v>
      </c>
      <c r="R510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511" spans="1:18" ht="14.25" x14ac:dyDescent="0.2">
      <c r="A511">
        <v>510</v>
      </c>
      <c r="B511" s="5">
        <v>40566</v>
      </c>
      <c r="C511">
        <v>1</v>
      </c>
      <c r="D511">
        <v>8</v>
      </c>
      <c r="E511" t="b">
        <v>0</v>
      </c>
      <c r="F511">
        <v>0</v>
      </c>
      <c r="G511">
        <v>1</v>
      </c>
      <c r="H511">
        <v>0.06</v>
      </c>
      <c r="I511" t="s">
        <v>5</v>
      </c>
      <c r="J511" t="s">
        <v>19</v>
      </c>
      <c r="K511" t="s">
        <v>20</v>
      </c>
      <c r="L511">
        <v>0.62</v>
      </c>
      <c r="M511">
        <v>2</v>
      </c>
      <c r="N511">
        <v>17</v>
      </c>
      <c r="O511">
        <v>19</v>
      </c>
      <c r="P511" s="2">
        <v>7.5800000000000006E-2</v>
      </c>
      <c r="Q511" s="2">
        <v>0.16420000000000001</v>
      </c>
      <c r="R511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512" spans="1:18" ht="14.25" x14ac:dyDescent="0.2">
      <c r="A512">
        <v>511</v>
      </c>
      <c r="B512" s="5">
        <v>40566</v>
      </c>
      <c r="C512">
        <v>1</v>
      </c>
      <c r="D512">
        <v>9</v>
      </c>
      <c r="E512" t="b">
        <v>0</v>
      </c>
      <c r="F512">
        <v>0</v>
      </c>
      <c r="G512">
        <v>1</v>
      </c>
      <c r="H512">
        <v>0.1</v>
      </c>
      <c r="I512" t="s">
        <v>5</v>
      </c>
      <c r="J512" t="s">
        <v>19</v>
      </c>
      <c r="K512" t="s">
        <v>20</v>
      </c>
      <c r="L512">
        <v>0.54</v>
      </c>
      <c r="M512">
        <v>3</v>
      </c>
      <c r="N512">
        <v>25</v>
      </c>
      <c r="O512">
        <v>28</v>
      </c>
      <c r="P512" s="2">
        <v>7.5800000000000006E-2</v>
      </c>
      <c r="Q512" s="2">
        <v>0.35820000000000002</v>
      </c>
      <c r="R512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513" spans="1:18" ht="14.25" x14ac:dyDescent="0.2">
      <c r="A513">
        <v>512</v>
      </c>
      <c r="B513" s="5">
        <v>40566</v>
      </c>
      <c r="C513">
        <v>1</v>
      </c>
      <c r="D513">
        <v>10</v>
      </c>
      <c r="E513" t="b">
        <v>0</v>
      </c>
      <c r="F513">
        <v>0</v>
      </c>
      <c r="G513">
        <v>1</v>
      </c>
      <c r="H513">
        <v>0.14000000000000001</v>
      </c>
      <c r="I513" t="s">
        <v>5</v>
      </c>
      <c r="J513" t="s">
        <v>19</v>
      </c>
      <c r="K513" t="s">
        <v>20</v>
      </c>
      <c r="L513">
        <v>0.46</v>
      </c>
      <c r="M513">
        <v>7</v>
      </c>
      <c r="N513">
        <v>51</v>
      </c>
      <c r="O513">
        <v>58</v>
      </c>
      <c r="P513" s="2">
        <v>0.1061</v>
      </c>
      <c r="Q513" s="2">
        <v>0.3881</v>
      </c>
      <c r="R513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514" spans="1:18" ht="14.25" x14ac:dyDescent="0.2">
      <c r="A514">
        <v>513</v>
      </c>
      <c r="B514" s="5">
        <v>40566</v>
      </c>
      <c r="C514">
        <v>1</v>
      </c>
      <c r="D514">
        <v>11</v>
      </c>
      <c r="E514" t="b">
        <v>0</v>
      </c>
      <c r="F514">
        <v>0</v>
      </c>
      <c r="G514">
        <v>1</v>
      </c>
      <c r="H514">
        <v>0.14000000000000001</v>
      </c>
      <c r="I514" t="s">
        <v>5</v>
      </c>
      <c r="J514" t="s">
        <v>19</v>
      </c>
      <c r="K514" t="s">
        <v>20</v>
      </c>
      <c r="L514">
        <v>0.43</v>
      </c>
      <c r="M514">
        <v>22</v>
      </c>
      <c r="N514">
        <v>77</v>
      </c>
      <c r="O514">
        <v>99</v>
      </c>
      <c r="P514" s="2">
        <v>0.13639999999999999</v>
      </c>
      <c r="Q514" s="2">
        <v>0.22389999999999999</v>
      </c>
      <c r="R514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515" spans="1:18" ht="14.25" x14ac:dyDescent="0.2">
      <c r="A515">
        <v>514</v>
      </c>
      <c r="B515" s="5">
        <v>40566</v>
      </c>
      <c r="C515">
        <v>1</v>
      </c>
      <c r="D515">
        <v>12</v>
      </c>
      <c r="E515" t="b">
        <v>0</v>
      </c>
      <c r="F515">
        <v>0</v>
      </c>
      <c r="G515">
        <v>1</v>
      </c>
      <c r="H515">
        <v>0.16</v>
      </c>
      <c r="I515" t="s">
        <v>5</v>
      </c>
      <c r="J515" t="s">
        <v>19</v>
      </c>
      <c r="K515" t="s">
        <v>22</v>
      </c>
      <c r="L515">
        <v>0.37</v>
      </c>
      <c r="M515">
        <v>24</v>
      </c>
      <c r="N515">
        <v>92</v>
      </c>
      <c r="O515">
        <v>116</v>
      </c>
      <c r="P515" s="2">
        <v>0.1212</v>
      </c>
      <c r="Q515" s="2">
        <v>0.4627</v>
      </c>
      <c r="R515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516" spans="1:18" ht="14.25" x14ac:dyDescent="0.2">
      <c r="A516">
        <v>515</v>
      </c>
      <c r="B516" s="5">
        <v>40566</v>
      </c>
      <c r="C516">
        <v>1</v>
      </c>
      <c r="D516">
        <v>13</v>
      </c>
      <c r="E516" t="b">
        <v>0</v>
      </c>
      <c r="F516">
        <v>0</v>
      </c>
      <c r="G516">
        <v>1</v>
      </c>
      <c r="H516">
        <v>0.14000000000000001</v>
      </c>
      <c r="I516" t="s">
        <v>5</v>
      </c>
      <c r="J516" t="s">
        <v>19</v>
      </c>
      <c r="K516" t="s">
        <v>22</v>
      </c>
      <c r="L516">
        <v>0.33</v>
      </c>
      <c r="M516">
        <v>12</v>
      </c>
      <c r="N516">
        <v>75</v>
      </c>
      <c r="O516">
        <v>87</v>
      </c>
      <c r="P516" s="2">
        <v>0.1061</v>
      </c>
      <c r="Q516" s="2">
        <v>0.3881</v>
      </c>
      <c r="R516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517" spans="1:18" ht="14.25" x14ac:dyDescent="0.2">
      <c r="A517">
        <v>516</v>
      </c>
      <c r="B517" s="5">
        <v>40566</v>
      </c>
      <c r="C517">
        <v>1</v>
      </c>
      <c r="D517">
        <v>14</v>
      </c>
      <c r="E517" t="b">
        <v>0</v>
      </c>
      <c r="F517">
        <v>0</v>
      </c>
      <c r="G517">
        <v>1</v>
      </c>
      <c r="H517">
        <v>0.16</v>
      </c>
      <c r="I517" t="s">
        <v>5</v>
      </c>
      <c r="J517" t="s">
        <v>19</v>
      </c>
      <c r="K517" t="s">
        <v>22</v>
      </c>
      <c r="L517">
        <v>0.28000000000000003</v>
      </c>
      <c r="M517">
        <v>17</v>
      </c>
      <c r="N517">
        <v>93</v>
      </c>
      <c r="O517">
        <v>110</v>
      </c>
      <c r="P517" s="2">
        <v>0.13639999999999999</v>
      </c>
      <c r="Q517" s="2">
        <v>0.35820000000000002</v>
      </c>
      <c r="R517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518" spans="1:18" ht="14.25" x14ac:dyDescent="0.2">
      <c r="A518">
        <v>517</v>
      </c>
      <c r="B518" s="5">
        <v>40566</v>
      </c>
      <c r="C518">
        <v>1</v>
      </c>
      <c r="D518">
        <v>15</v>
      </c>
      <c r="E518" t="b">
        <v>0</v>
      </c>
      <c r="F518">
        <v>0</v>
      </c>
      <c r="G518">
        <v>1</v>
      </c>
      <c r="H518">
        <v>0.16</v>
      </c>
      <c r="I518" t="s">
        <v>5</v>
      </c>
      <c r="J518" t="s">
        <v>19</v>
      </c>
      <c r="K518" t="s">
        <v>22</v>
      </c>
      <c r="L518">
        <v>0.28000000000000003</v>
      </c>
      <c r="M518">
        <v>13</v>
      </c>
      <c r="N518">
        <v>64</v>
      </c>
      <c r="O518">
        <v>77</v>
      </c>
      <c r="P518" s="2">
        <v>0.13639999999999999</v>
      </c>
      <c r="Q518" s="2">
        <v>0.35820000000000002</v>
      </c>
      <c r="R518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519" spans="1:18" ht="14.25" x14ac:dyDescent="0.2">
      <c r="A519">
        <v>518</v>
      </c>
      <c r="B519" s="5">
        <v>40566</v>
      </c>
      <c r="C519">
        <v>1</v>
      </c>
      <c r="D519">
        <v>16</v>
      </c>
      <c r="E519" t="b">
        <v>0</v>
      </c>
      <c r="F519">
        <v>0</v>
      </c>
      <c r="G519">
        <v>1</v>
      </c>
      <c r="H519">
        <v>0.16</v>
      </c>
      <c r="I519" t="s">
        <v>5</v>
      </c>
      <c r="J519" t="s">
        <v>19</v>
      </c>
      <c r="K519" t="s">
        <v>22</v>
      </c>
      <c r="L519">
        <v>0.26</v>
      </c>
      <c r="M519">
        <v>9</v>
      </c>
      <c r="N519">
        <v>56</v>
      </c>
      <c r="O519">
        <v>65</v>
      </c>
      <c r="P519" s="2">
        <v>0.13639999999999999</v>
      </c>
      <c r="Q519" s="2">
        <v>0.32840000000000003</v>
      </c>
      <c r="R519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520" spans="1:18" ht="14.25" x14ac:dyDescent="0.2">
      <c r="A520">
        <v>519</v>
      </c>
      <c r="B520" s="5">
        <v>40566</v>
      </c>
      <c r="C520">
        <v>1</v>
      </c>
      <c r="D520">
        <v>17</v>
      </c>
      <c r="E520" t="b">
        <v>0</v>
      </c>
      <c r="F520">
        <v>0</v>
      </c>
      <c r="G520">
        <v>1</v>
      </c>
      <c r="H520">
        <v>0.14000000000000001</v>
      </c>
      <c r="I520" t="s">
        <v>5</v>
      </c>
      <c r="J520" t="s">
        <v>19</v>
      </c>
      <c r="K520" t="s">
        <v>23</v>
      </c>
      <c r="L520">
        <v>0.26</v>
      </c>
      <c r="M520">
        <v>5</v>
      </c>
      <c r="N520">
        <v>50</v>
      </c>
      <c r="O520">
        <v>55</v>
      </c>
      <c r="P520" s="2">
        <v>0.1061</v>
      </c>
      <c r="Q520" s="2">
        <v>0.3881</v>
      </c>
      <c r="R520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521" spans="1:18" ht="14.25" x14ac:dyDescent="0.2">
      <c r="A521">
        <v>520</v>
      </c>
      <c r="B521" s="5">
        <v>40566</v>
      </c>
      <c r="C521">
        <v>1</v>
      </c>
      <c r="D521">
        <v>18</v>
      </c>
      <c r="E521" t="b">
        <v>0</v>
      </c>
      <c r="F521">
        <v>0</v>
      </c>
      <c r="G521">
        <v>1</v>
      </c>
      <c r="H521">
        <v>0.12</v>
      </c>
      <c r="I521" t="s">
        <v>5</v>
      </c>
      <c r="J521" t="s">
        <v>19</v>
      </c>
      <c r="K521" t="s">
        <v>23</v>
      </c>
      <c r="L521">
        <v>0.3</v>
      </c>
      <c r="M521">
        <v>5</v>
      </c>
      <c r="N521">
        <v>44</v>
      </c>
      <c r="O521">
        <v>49</v>
      </c>
      <c r="P521" s="2">
        <v>0.1212</v>
      </c>
      <c r="Q521" s="2">
        <v>0.25369999999999998</v>
      </c>
      <c r="R521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522" spans="1:18" ht="14.25" x14ac:dyDescent="0.2">
      <c r="A522">
        <v>521</v>
      </c>
      <c r="B522" s="5">
        <v>40566</v>
      </c>
      <c r="C522">
        <v>1</v>
      </c>
      <c r="D522">
        <v>19</v>
      </c>
      <c r="E522" t="b">
        <v>0</v>
      </c>
      <c r="F522">
        <v>0</v>
      </c>
      <c r="G522">
        <v>1</v>
      </c>
      <c r="H522">
        <v>0.12</v>
      </c>
      <c r="I522" t="s">
        <v>5</v>
      </c>
      <c r="J522" t="s">
        <v>19</v>
      </c>
      <c r="K522" t="s">
        <v>23</v>
      </c>
      <c r="L522">
        <v>0.3</v>
      </c>
      <c r="M522">
        <v>5</v>
      </c>
      <c r="N522">
        <v>45</v>
      </c>
      <c r="O522">
        <v>50</v>
      </c>
      <c r="P522" s="2">
        <v>0.1212</v>
      </c>
      <c r="Q522" s="2">
        <v>0.28360000000000002</v>
      </c>
      <c r="R522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523" spans="1:18" ht="14.25" x14ac:dyDescent="0.2">
      <c r="A523">
        <v>522</v>
      </c>
      <c r="B523" s="5">
        <v>40566</v>
      </c>
      <c r="C523">
        <v>1</v>
      </c>
      <c r="D523">
        <v>20</v>
      </c>
      <c r="E523" t="b">
        <v>0</v>
      </c>
      <c r="F523">
        <v>0</v>
      </c>
      <c r="G523">
        <v>1</v>
      </c>
      <c r="H523">
        <v>0.1</v>
      </c>
      <c r="I523" t="s">
        <v>5</v>
      </c>
      <c r="J523" t="s">
        <v>19</v>
      </c>
      <c r="K523" t="s">
        <v>23</v>
      </c>
      <c r="L523">
        <v>0.36</v>
      </c>
      <c r="M523">
        <v>4</v>
      </c>
      <c r="N523">
        <v>31</v>
      </c>
      <c r="O523">
        <v>35</v>
      </c>
      <c r="P523" s="2">
        <v>0.1061</v>
      </c>
      <c r="Q523" s="2">
        <v>0.25369999999999998</v>
      </c>
      <c r="R523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524" spans="1:18" ht="14.25" x14ac:dyDescent="0.2">
      <c r="A524">
        <v>523</v>
      </c>
      <c r="B524" s="5">
        <v>40566</v>
      </c>
      <c r="C524">
        <v>1</v>
      </c>
      <c r="D524">
        <v>21</v>
      </c>
      <c r="E524" t="b">
        <v>0</v>
      </c>
      <c r="F524">
        <v>0</v>
      </c>
      <c r="G524">
        <v>1</v>
      </c>
      <c r="H524">
        <v>0.1</v>
      </c>
      <c r="I524" t="s">
        <v>5</v>
      </c>
      <c r="J524" t="s">
        <v>19</v>
      </c>
      <c r="K524" t="s">
        <v>25</v>
      </c>
      <c r="L524">
        <v>0.36</v>
      </c>
      <c r="M524">
        <v>5</v>
      </c>
      <c r="N524">
        <v>20</v>
      </c>
      <c r="O524">
        <v>25</v>
      </c>
      <c r="P524" s="2">
        <v>0.1061</v>
      </c>
      <c r="Q524" s="2">
        <v>0.19400000000000001</v>
      </c>
      <c r="R524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525" spans="1:18" ht="14.25" x14ac:dyDescent="0.2">
      <c r="A525">
        <v>524</v>
      </c>
      <c r="B525" s="5">
        <v>40566</v>
      </c>
      <c r="C525">
        <v>1</v>
      </c>
      <c r="D525">
        <v>22</v>
      </c>
      <c r="E525" t="b">
        <v>0</v>
      </c>
      <c r="F525">
        <v>0</v>
      </c>
      <c r="G525">
        <v>1</v>
      </c>
      <c r="H525">
        <v>0.08</v>
      </c>
      <c r="I525" t="s">
        <v>5</v>
      </c>
      <c r="J525" t="s">
        <v>19</v>
      </c>
      <c r="K525" t="s">
        <v>25</v>
      </c>
      <c r="L525">
        <v>0.38</v>
      </c>
      <c r="M525">
        <v>5</v>
      </c>
      <c r="N525">
        <v>23</v>
      </c>
      <c r="O525">
        <v>28</v>
      </c>
      <c r="P525" s="2">
        <v>9.0899999999999995E-2</v>
      </c>
      <c r="Q525" s="2">
        <v>0.19400000000000001</v>
      </c>
      <c r="R525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526" spans="1:18" ht="14.25" x14ac:dyDescent="0.2">
      <c r="A526">
        <v>525</v>
      </c>
      <c r="B526" s="5">
        <v>40566</v>
      </c>
      <c r="C526">
        <v>1</v>
      </c>
      <c r="D526">
        <v>23</v>
      </c>
      <c r="E526" t="b">
        <v>0</v>
      </c>
      <c r="F526">
        <v>0</v>
      </c>
      <c r="G526">
        <v>1</v>
      </c>
      <c r="H526">
        <v>0.06</v>
      </c>
      <c r="I526" t="s">
        <v>5</v>
      </c>
      <c r="J526" t="s">
        <v>19</v>
      </c>
      <c r="K526" t="s">
        <v>25</v>
      </c>
      <c r="L526">
        <v>0.41</v>
      </c>
      <c r="M526">
        <v>4</v>
      </c>
      <c r="N526">
        <v>17</v>
      </c>
      <c r="O526">
        <v>21</v>
      </c>
      <c r="P526" s="2">
        <v>6.0600000000000001E-2</v>
      </c>
      <c r="Q526" s="2">
        <v>0.22389999999999999</v>
      </c>
      <c r="R526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Sunday</v>
      </c>
    </row>
    <row r="527" spans="1:18" ht="14.25" x14ac:dyDescent="0.2">
      <c r="A527">
        <v>526</v>
      </c>
      <c r="B527" s="5">
        <v>40567</v>
      </c>
      <c r="C527">
        <v>1</v>
      </c>
      <c r="D527">
        <v>0</v>
      </c>
      <c r="E527" t="b">
        <v>0</v>
      </c>
      <c r="F527">
        <v>1</v>
      </c>
      <c r="G527">
        <v>1</v>
      </c>
      <c r="H527">
        <v>0.06</v>
      </c>
      <c r="I527" t="s">
        <v>5</v>
      </c>
      <c r="J527" t="s">
        <v>19</v>
      </c>
      <c r="K527" t="s">
        <v>20</v>
      </c>
      <c r="L527">
        <v>0.41</v>
      </c>
      <c r="M527">
        <v>0</v>
      </c>
      <c r="N527">
        <v>7</v>
      </c>
      <c r="O527">
        <v>7</v>
      </c>
      <c r="P527" s="2">
        <v>6.0600000000000001E-2</v>
      </c>
      <c r="Q527" s="2">
        <v>0.19400000000000001</v>
      </c>
      <c r="R527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528" spans="1:18" ht="14.25" x14ac:dyDescent="0.2">
      <c r="A528">
        <v>527</v>
      </c>
      <c r="B528" s="5">
        <v>40567</v>
      </c>
      <c r="C528">
        <v>1</v>
      </c>
      <c r="D528">
        <v>1</v>
      </c>
      <c r="E528" t="b">
        <v>0</v>
      </c>
      <c r="F528">
        <v>1</v>
      </c>
      <c r="G528">
        <v>1</v>
      </c>
      <c r="H528">
        <v>0.04</v>
      </c>
      <c r="I528" t="s">
        <v>5</v>
      </c>
      <c r="J528" t="s">
        <v>19</v>
      </c>
      <c r="K528" t="s">
        <v>20</v>
      </c>
      <c r="L528">
        <v>0.45</v>
      </c>
      <c r="M528">
        <v>0</v>
      </c>
      <c r="N528">
        <v>1</v>
      </c>
      <c r="O528">
        <v>1</v>
      </c>
      <c r="P528" s="2">
        <v>4.5499999999999999E-2</v>
      </c>
      <c r="Q528" s="2">
        <v>0.19400000000000001</v>
      </c>
      <c r="R528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529" spans="1:18" ht="14.25" x14ac:dyDescent="0.2">
      <c r="A529">
        <v>528</v>
      </c>
      <c r="B529" s="5">
        <v>40567</v>
      </c>
      <c r="C529">
        <v>1</v>
      </c>
      <c r="D529">
        <v>3</v>
      </c>
      <c r="E529" t="b">
        <v>0</v>
      </c>
      <c r="F529">
        <v>1</v>
      </c>
      <c r="G529">
        <v>1</v>
      </c>
      <c r="H529">
        <v>0.04</v>
      </c>
      <c r="I529" t="s">
        <v>5</v>
      </c>
      <c r="J529" t="s">
        <v>19</v>
      </c>
      <c r="K529" t="s">
        <v>20</v>
      </c>
      <c r="L529">
        <v>0.45</v>
      </c>
      <c r="M529">
        <v>0</v>
      </c>
      <c r="N529">
        <v>1</v>
      </c>
      <c r="O529">
        <v>1</v>
      </c>
      <c r="P529" s="2">
        <v>3.0300000000000001E-2</v>
      </c>
      <c r="Q529" s="2">
        <v>0.25369999999999998</v>
      </c>
      <c r="R529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530" spans="1:18" ht="14.25" x14ac:dyDescent="0.2">
      <c r="A530">
        <v>529</v>
      </c>
      <c r="B530" s="5">
        <v>40567</v>
      </c>
      <c r="C530">
        <v>1</v>
      </c>
      <c r="D530">
        <v>4</v>
      </c>
      <c r="E530" t="b">
        <v>0</v>
      </c>
      <c r="F530">
        <v>1</v>
      </c>
      <c r="G530">
        <v>1</v>
      </c>
      <c r="H530">
        <v>0.02</v>
      </c>
      <c r="I530" t="s">
        <v>5</v>
      </c>
      <c r="J530" t="s">
        <v>19</v>
      </c>
      <c r="K530" t="s">
        <v>20</v>
      </c>
      <c r="L530">
        <v>0.48</v>
      </c>
      <c r="M530">
        <v>0</v>
      </c>
      <c r="N530">
        <v>1</v>
      </c>
      <c r="O530">
        <v>1</v>
      </c>
      <c r="P530" s="2">
        <v>6.0600000000000001E-2</v>
      </c>
      <c r="Q530" s="2">
        <v>0.1343</v>
      </c>
      <c r="R530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531" spans="1:18" ht="14.25" x14ac:dyDescent="0.2">
      <c r="A531">
        <v>530</v>
      </c>
      <c r="B531" s="5">
        <v>40567</v>
      </c>
      <c r="C531">
        <v>1</v>
      </c>
      <c r="D531">
        <v>5</v>
      </c>
      <c r="E531" t="b">
        <v>0</v>
      </c>
      <c r="F531">
        <v>1</v>
      </c>
      <c r="G531">
        <v>1</v>
      </c>
      <c r="H531">
        <v>0.02</v>
      </c>
      <c r="I531" t="s">
        <v>5</v>
      </c>
      <c r="J531" t="s">
        <v>19</v>
      </c>
      <c r="K531" t="s">
        <v>20</v>
      </c>
      <c r="L531">
        <v>0.48</v>
      </c>
      <c r="M531">
        <v>0</v>
      </c>
      <c r="N531">
        <v>5</v>
      </c>
      <c r="O531">
        <v>5</v>
      </c>
      <c r="P531" s="2">
        <v>6.0600000000000001E-2</v>
      </c>
      <c r="Q531" s="2">
        <v>0.1343</v>
      </c>
      <c r="R531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532" spans="1:18" ht="14.25" x14ac:dyDescent="0.2">
      <c r="A532">
        <v>531</v>
      </c>
      <c r="B532" s="5">
        <v>40567</v>
      </c>
      <c r="C532">
        <v>1</v>
      </c>
      <c r="D532">
        <v>6</v>
      </c>
      <c r="E532" t="b">
        <v>0</v>
      </c>
      <c r="F532">
        <v>1</v>
      </c>
      <c r="G532">
        <v>1</v>
      </c>
      <c r="H532">
        <v>0.02</v>
      </c>
      <c r="I532" t="s">
        <v>5</v>
      </c>
      <c r="J532" t="s">
        <v>19</v>
      </c>
      <c r="K532" t="s">
        <v>20</v>
      </c>
      <c r="L532">
        <v>0.48</v>
      </c>
      <c r="M532">
        <v>0</v>
      </c>
      <c r="N532">
        <v>15</v>
      </c>
      <c r="O532">
        <v>15</v>
      </c>
      <c r="P532" s="2">
        <v>7.5800000000000006E-2</v>
      </c>
      <c r="Q532" s="2">
        <v>8.9599999999999999E-2</v>
      </c>
      <c r="R532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533" spans="1:18" ht="14.25" x14ac:dyDescent="0.2">
      <c r="A533">
        <v>532</v>
      </c>
      <c r="B533" s="5">
        <v>40567</v>
      </c>
      <c r="C533">
        <v>1</v>
      </c>
      <c r="D533">
        <v>7</v>
      </c>
      <c r="E533" t="b">
        <v>0</v>
      </c>
      <c r="F533">
        <v>1</v>
      </c>
      <c r="G533">
        <v>1</v>
      </c>
      <c r="H533">
        <v>0.02</v>
      </c>
      <c r="I533" t="s">
        <v>5</v>
      </c>
      <c r="J533" t="s">
        <v>19</v>
      </c>
      <c r="K533" t="s">
        <v>20</v>
      </c>
      <c r="L533">
        <v>0.48</v>
      </c>
      <c r="M533">
        <v>5</v>
      </c>
      <c r="N533">
        <v>79</v>
      </c>
      <c r="O533">
        <v>84</v>
      </c>
      <c r="P533" s="2">
        <v>0.1212</v>
      </c>
      <c r="Q533" s="2">
        <v>0</v>
      </c>
      <c r="R533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534" spans="1:18" ht="14.25" x14ac:dyDescent="0.2">
      <c r="A534">
        <v>533</v>
      </c>
      <c r="B534" s="5">
        <v>40567</v>
      </c>
      <c r="C534">
        <v>1</v>
      </c>
      <c r="D534">
        <v>8</v>
      </c>
      <c r="E534" t="b">
        <v>0</v>
      </c>
      <c r="F534">
        <v>1</v>
      </c>
      <c r="G534">
        <v>1</v>
      </c>
      <c r="H534">
        <v>0.04</v>
      </c>
      <c r="I534" t="s">
        <v>5</v>
      </c>
      <c r="J534" t="s">
        <v>19</v>
      </c>
      <c r="K534" t="s">
        <v>20</v>
      </c>
      <c r="L534">
        <v>0.49</v>
      </c>
      <c r="M534">
        <v>6</v>
      </c>
      <c r="N534">
        <v>171</v>
      </c>
      <c r="O534">
        <v>177</v>
      </c>
      <c r="P534" s="2">
        <v>0.13639999999999999</v>
      </c>
      <c r="Q534" s="2">
        <v>0</v>
      </c>
      <c r="R534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535" spans="1:18" ht="14.25" x14ac:dyDescent="0.2">
      <c r="A535">
        <v>534</v>
      </c>
      <c r="B535" s="5">
        <v>40567</v>
      </c>
      <c r="C535">
        <v>1</v>
      </c>
      <c r="D535">
        <v>9</v>
      </c>
      <c r="E535" t="b">
        <v>0</v>
      </c>
      <c r="F535">
        <v>1</v>
      </c>
      <c r="G535">
        <v>1</v>
      </c>
      <c r="H535">
        <v>0.06</v>
      </c>
      <c r="I535" t="s">
        <v>5</v>
      </c>
      <c r="J535" t="s">
        <v>19</v>
      </c>
      <c r="K535" t="s">
        <v>20</v>
      </c>
      <c r="L535">
        <v>0.41</v>
      </c>
      <c r="M535">
        <v>4</v>
      </c>
      <c r="N535">
        <v>98</v>
      </c>
      <c r="O535">
        <v>102</v>
      </c>
      <c r="P535" s="2">
        <v>0.1515</v>
      </c>
      <c r="Q535" s="2">
        <v>0</v>
      </c>
      <c r="R535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536" spans="1:18" ht="14.25" x14ac:dyDescent="0.2">
      <c r="A536">
        <v>535</v>
      </c>
      <c r="B536" s="5">
        <v>40567</v>
      </c>
      <c r="C536">
        <v>1</v>
      </c>
      <c r="D536">
        <v>10</v>
      </c>
      <c r="E536" t="b">
        <v>0</v>
      </c>
      <c r="F536">
        <v>1</v>
      </c>
      <c r="G536">
        <v>1</v>
      </c>
      <c r="H536">
        <v>0.1</v>
      </c>
      <c r="I536" t="s">
        <v>5</v>
      </c>
      <c r="J536" t="s">
        <v>19</v>
      </c>
      <c r="K536" t="s">
        <v>20</v>
      </c>
      <c r="L536">
        <v>0.42</v>
      </c>
      <c r="M536">
        <v>6</v>
      </c>
      <c r="N536">
        <v>34</v>
      </c>
      <c r="O536">
        <v>40</v>
      </c>
      <c r="P536" s="2">
        <v>0.13639999999999999</v>
      </c>
      <c r="Q536" s="2">
        <v>0</v>
      </c>
      <c r="R536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537" spans="1:18" ht="14.25" x14ac:dyDescent="0.2">
      <c r="A537">
        <v>536</v>
      </c>
      <c r="B537" s="5">
        <v>40567</v>
      </c>
      <c r="C537">
        <v>1</v>
      </c>
      <c r="D537">
        <v>11</v>
      </c>
      <c r="E537" t="b">
        <v>0</v>
      </c>
      <c r="F537">
        <v>1</v>
      </c>
      <c r="G537">
        <v>1</v>
      </c>
      <c r="H537">
        <v>0.1</v>
      </c>
      <c r="I537" t="s">
        <v>5</v>
      </c>
      <c r="J537" t="s">
        <v>19</v>
      </c>
      <c r="K537" t="s">
        <v>20</v>
      </c>
      <c r="L537">
        <v>0.46</v>
      </c>
      <c r="M537">
        <v>3</v>
      </c>
      <c r="N537">
        <v>43</v>
      </c>
      <c r="O537">
        <v>46</v>
      </c>
      <c r="P537" s="2">
        <v>0.1212</v>
      </c>
      <c r="Q537" s="2">
        <v>0.1343</v>
      </c>
      <c r="R537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538" spans="1:18" ht="14.25" x14ac:dyDescent="0.2">
      <c r="A538">
        <v>537</v>
      </c>
      <c r="B538" s="5">
        <v>40567</v>
      </c>
      <c r="C538">
        <v>1</v>
      </c>
      <c r="D538">
        <v>12</v>
      </c>
      <c r="E538" t="b">
        <v>0</v>
      </c>
      <c r="F538">
        <v>1</v>
      </c>
      <c r="G538">
        <v>2</v>
      </c>
      <c r="H538">
        <v>0.12</v>
      </c>
      <c r="I538" t="s">
        <v>5</v>
      </c>
      <c r="J538" t="s">
        <v>21</v>
      </c>
      <c r="K538" t="s">
        <v>22</v>
      </c>
      <c r="L538">
        <v>0.42</v>
      </c>
      <c r="M538">
        <v>11</v>
      </c>
      <c r="N538">
        <v>52</v>
      </c>
      <c r="O538">
        <v>63</v>
      </c>
      <c r="P538" s="2">
        <v>0.13639999999999999</v>
      </c>
      <c r="Q538" s="2">
        <v>0.19400000000000001</v>
      </c>
      <c r="R538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539" spans="1:18" ht="14.25" x14ac:dyDescent="0.2">
      <c r="A539">
        <v>538</v>
      </c>
      <c r="B539" s="5">
        <v>40567</v>
      </c>
      <c r="C539">
        <v>1</v>
      </c>
      <c r="D539">
        <v>13</v>
      </c>
      <c r="E539" t="b">
        <v>0</v>
      </c>
      <c r="F539">
        <v>1</v>
      </c>
      <c r="G539">
        <v>2</v>
      </c>
      <c r="H539">
        <v>0.14000000000000001</v>
      </c>
      <c r="I539" t="s">
        <v>5</v>
      </c>
      <c r="J539" t="s">
        <v>21</v>
      </c>
      <c r="K539" t="s">
        <v>22</v>
      </c>
      <c r="L539">
        <v>0.43</v>
      </c>
      <c r="M539">
        <v>6</v>
      </c>
      <c r="N539">
        <v>54</v>
      </c>
      <c r="O539">
        <v>60</v>
      </c>
      <c r="P539" s="2">
        <v>0.13639999999999999</v>
      </c>
      <c r="Q539" s="2">
        <v>0.22389999999999999</v>
      </c>
      <c r="R539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540" spans="1:18" ht="14.25" x14ac:dyDescent="0.2">
      <c r="A540">
        <v>539</v>
      </c>
      <c r="B540" s="5">
        <v>40567</v>
      </c>
      <c r="C540">
        <v>1</v>
      </c>
      <c r="D540">
        <v>14</v>
      </c>
      <c r="E540" t="b">
        <v>0</v>
      </c>
      <c r="F540">
        <v>1</v>
      </c>
      <c r="G540">
        <v>2</v>
      </c>
      <c r="H540">
        <v>0.14000000000000001</v>
      </c>
      <c r="I540" t="s">
        <v>5</v>
      </c>
      <c r="J540" t="s">
        <v>21</v>
      </c>
      <c r="K540" t="s">
        <v>22</v>
      </c>
      <c r="L540">
        <v>0.46</v>
      </c>
      <c r="M540">
        <v>2</v>
      </c>
      <c r="N540">
        <v>43</v>
      </c>
      <c r="O540">
        <v>45</v>
      </c>
      <c r="P540" s="2">
        <v>0.13639999999999999</v>
      </c>
      <c r="Q540" s="2">
        <v>0.22389999999999999</v>
      </c>
      <c r="R540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541" spans="1:18" ht="14.25" x14ac:dyDescent="0.2">
      <c r="A541">
        <v>540</v>
      </c>
      <c r="B541" s="5">
        <v>40567</v>
      </c>
      <c r="C541">
        <v>1</v>
      </c>
      <c r="D541">
        <v>15</v>
      </c>
      <c r="E541" t="b">
        <v>0</v>
      </c>
      <c r="F541">
        <v>1</v>
      </c>
      <c r="G541">
        <v>1</v>
      </c>
      <c r="H541">
        <v>0.16</v>
      </c>
      <c r="I541" t="s">
        <v>5</v>
      </c>
      <c r="J541" t="s">
        <v>19</v>
      </c>
      <c r="K541" t="s">
        <v>22</v>
      </c>
      <c r="L541">
        <v>0.4</v>
      </c>
      <c r="M541">
        <v>7</v>
      </c>
      <c r="N541">
        <v>50</v>
      </c>
      <c r="O541">
        <v>57</v>
      </c>
      <c r="P541" s="2">
        <v>0.16669999999999999</v>
      </c>
      <c r="Q541" s="2">
        <v>0.16420000000000001</v>
      </c>
      <c r="R541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542" spans="1:18" ht="14.25" x14ac:dyDescent="0.2">
      <c r="A542">
        <v>541</v>
      </c>
      <c r="B542" s="5">
        <v>40567</v>
      </c>
      <c r="C542">
        <v>1</v>
      </c>
      <c r="D542">
        <v>16</v>
      </c>
      <c r="E542" t="b">
        <v>0</v>
      </c>
      <c r="F542">
        <v>1</v>
      </c>
      <c r="G542">
        <v>1</v>
      </c>
      <c r="H542">
        <v>0.16</v>
      </c>
      <c r="I542" t="s">
        <v>5</v>
      </c>
      <c r="J542" t="s">
        <v>19</v>
      </c>
      <c r="K542" t="s">
        <v>22</v>
      </c>
      <c r="L542">
        <v>0.47</v>
      </c>
      <c r="M542">
        <v>4</v>
      </c>
      <c r="N542">
        <v>66</v>
      </c>
      <c r="O542">
        <v>70</v>
      </c>
      <c r="P542" s="2">
        <v>0.1515</v>
      </c>
      <c r="Q542" s="2">
        <v>0.25369999999999998</v>
      </c>
      <c r="R542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543" spans="1:18" ht="14.25" x14ac:dyDescent="0.2">
      <c r="A543">
        <v>542</v>
      </c>
      <c r="B543" s="5">
        <v>40567</v>
      </c>
      <c r="C543">
        <v>1</v>
      </c>
      <c r="D543">
        <v>17</v>
      </c>
      <c r="E543" t="b">
        <v>0</v>
      </c>
      <c r="F543">
        <v>1</v>
      </c>
      <c r="G543">
        <v>1</v>
      </c>
      <c r="H543">
        <v>0.14000000000000001</v>
      </c>
      <c r="I543" t="s">
        <v>5</v>
      </c>
      <c r="J543" t="s">
        <v>19</v>
      </c>
      <c r="K543" t="s">
        <v>23</v>
      </c>
      <c r="L543">
        <v>0.5</v>
      </c>
      <c r="M543">
        <v>6</v>
      </c>
      <c r="N543">
        <v>178</v>
      </c>
      <c r="O543">
        <v>184</v>
      </c>
      <c r="P543" s="2">
        <v>0.1212</v>
      </c>
      <c r="Q543" s="2">
        <v>0.25369999999999998</v>
      </c>
      <c r="R543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544" spans="1:18" ht="14.25" x14ac:dyDescent="0.2">
      <c r="A544">
        <v>543</v>
      </c>
      <c r="B544" s="5">
        <v>40567</v>
      </c>
      <c r="C544">
        <v>1</v>
      </c>
      <c r="D544">
        <v>18</v>
      </c>
      <c r="E544" t="b">
        <v>0</v>
      </c>
      <c r="F544">
        <v>1</v>
      </c>
      <c r="G544">
        <v>1</v>
      </c>
      <c r="H544">
        <v>0.14000000000000001</v>
      </c>
      <c r="I544" t="s">
        <v>5</v>
      </c>
      <c r="J544" t="s">
        <v>19</v>
      </c>
      <c r="K544" t="s">
        <v>23</v>
      </c>
      <c r="L544">
        <v>0.59</v>
      </c>
      <c r="M544">
        <v>8</v>
      </c>
      <c r="N544">
        <v>145</v>
      </c>
      <c r="O544">
        <v>153</v>
      </c>
      <c r="P544" s="2">
        <v>0.13639999999999999</v>
      </c>
      <c r="Q544" s="2">
        <v>0.19400000000000001</v>
      </c>
      <c r="R544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545" spans="1:18" ht="14.25" x14ac:dyDescent="0.2">
      <c r="A545">
        <v>544</v>
      </c>
      <c r="B545" s="5">
        <v>40567</v>
      </c>
      <c r="C545">
        <v>1</v>
      </c>
      <c r="D545">
        <v>19</v>
      </c>
      <c r="E545" t="b">
        <v>0</v>
      </c>
      <c r="F545">
        <v>1</v>
      </c>
      <c r="G545">
        <v>1</v>
      </c>
      <c r="H545">
        <v>0.14000000000000001</v>
      </c>
      <c r="I545" t="s">
        <v>5</v>
      </c>
      <c r="J545" t="s">
        <v>19</v>
      </c>
      <c r="K545" t="s">
        <v>23</v>
      </c>
      <c r="L545">
        <v>0.54</v>
      </c>
      <c r="M545">
        <v>5</v>
      </c>
      <c r="N545">
        <v>101</v>
      </c>
      <c r="O545">
        <v>106</v>
      </c>
      <c r="P545" s="2">
        <v>0.1515</v>
      </c>
      <c r="Q545" s="2">
        <v>0.16420000000000001</v>
      </c>
      <c r="R545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546" spans="1:18" ht="14.25" x14ac:dyDescent="0.2">
      <c r="A546">
        <v>545</v>
      </c>
      <c r="B546" s="5">
        <v>40567</v>
      </c>
      <c r="C546">
        <v>1</v>
      </c>
      <c r="D546">
        <v>20</v>
      </c>
      <c r="E546" t="b">
        <v>0</v>
      </c>
      <c r="F546">
        <v>1</v>
      </c>
      <c r="G546">
        <v>1</v>
      </c>
      <c r="H546">
        <v>0.14000000000000001</v>
      </c>
      <c r="I546" t="s">
        <v>5</v>
      </c>
      <c r="J546" t="s">
        <v>19</v>
      </c>
      <c r="K546" t="s">
        <v>23</v>
      </c>
      <c r="L546">
        <v>0.59</v>
      </c>
      <c r="M546">
        <v>1</v>
      </c>
      <c r="N546">
        <v>80</v>
      </c>
      <c r="O546">
        <v>81</v>
      </c>
      <c r="P546" s="2">
        <v>0.13639999999999999</v>
      </c>
      <c r="Q546" s="2">
        <v>0.19400000000000001</v>
      </c>
      <c r="R546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547" spans="1:18" ht="14.25" x14ac:dyDescent="0.2">
      <c r="A547">
        <v>546</v>
      </c>
      <c r="B547" s="5">
        <v>40567</v>
      </c>
      <c r="C547">
        <v>1</v>
      </c>
      <c r="D547">
        <v>21</v>
      </c>
      <c r="E547" t="b">
        <v>0</v>
      </c>
      <c r="F547">
        <v>1</v>
      </c>
      <c r="G547">
        <v>1</v>
      </c>
      <c r="H547">
        <v>0.14000000000000001</v>
      </c>
      <c r="I547" t="s">
        <v>5</v>
      </c>
      <c r="J547" t="s">
        <v>19</v>
      </c>
      <c r="K547" t="s">
        <v>25</v>
      </c>
      <c r="L547">
        <v>0.63</v>
      </c>
      <c r="M547">
        <v>6</v>
      </c>
      <c r="N547">
        <v>53</v>
      </c>
      <c r="O547">
        <v>59</v>
      </c>
      <c r="P547" s="2">
        <v>0.1515</v>
      </c>
      <c r="Q547" s="2">
        <v>0.16420000000000001</v>
      </c>
      <c r="R547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548" spans="1:18" ht="14.25" x14ac:dyDescent="0.2">
      <c r="A548">
        <v>547</v>
      </c>
      <c r="B548" s="5">
        <v>40567</v>
      </c>
      <c r="C548">
        <v>1</v>
      </c>
      <c r="D548">
        <v>22</v>
      </c>
      <c r="E548" t="b">
        <v>0</v>
      </c>
      <c r="F548">
        <v>1</v>
      </c>
      <c r="G548">
        <v>2</v>
      </c>
      <c r="H548">
        <v>0.14000000000000001</v>
      </c>
      <c r="I548" t="s">
        <v>5</v>
      </c>
      <c r="J548" t="s">
        <v>21</v>
      </c>
      <c r="K548" t="s">
        <v>25</v>
      </c>
      <c r="L548">
        <v>0.63</v>
      </c>
      <c r="M548">
        <v>3</v>
      </c>
      <c r="N548">
        <v>32</v>
      </c>
      <c r="O548">
        <v>35</v>
      </c>
      <c r="P548" s="2">
        <v>0.13639999999999999</v>
      </c>
      <c r="Q548" s="2">
        <v>0.22389999999999999</v>
      </c>
      <c r="R548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549" spans="1:18" ht="14.25" x14ac:dyDescent="0.2">
      <c r="A549">
        <v>548</v>
      </c>
      <c r="B549" s="5">
        <v>40567</v>
      </c>
      <c r="C549">
        <v>1</v>
      </c>
      <c r="D549">
        <v>23</v>
      </c>
      <c r="E549" t="b">
        <v>0</v>
      </c>
      <c r="F549">
        <v>1</v>
      </c>
      <c r="G549">
        <v>2</v>
      </c>
      <c r="H549">
        <v>0.16</v>
      </c>
      <c r="I549" t="s">
        <v>5</v>
      </c>
      <c r="J549" t="s">
        <v>21</v>
      </c>
      <c r="K549" t="s">
        <v>25</v>
      </c>
      <c r="L549">
        <v>0.64</v>
      </c>
      <c r="M549">
        <v>3</v>
      </c>
      <c r="N549">
        <v>21</v>
      </c>
      <c r="O549">
        <v>24</v>
      </c>
      <c r="P549" s="2">
        <v>0.1515</v>
      </c>
      <c r="Q549" s="2">
        <v>0.25369999999999998</v>
      </c>
      <c r="R549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Monday</v>
      </c>
    </row>
    <row r="550" spans="1:18" ht="14.25" x14ac:dyDescent="0.2">
      <c r="A550">
        <v>549</v>
      </c>
      <c r="B550" s="5">
        <v>40568</v>
      </c>
      <c r="C550">
        <v>1</v>
      </c>
      <c r="D550">
        <v>0</v>
      </c>
      <c r="E550" t="b">
        <v>0</v>
      </c>
      <c r="F550">
        <v>2</v>
      </c>
      <c r="G550">
        <v>2</v>
      </c>
      <c r="H550">
        <v>0.16</v>
      </c>
      <c r="I550" t="s">
        <v>5</v>
      </c>
      <c r="J550" t="s">
        <v>21</v>
      </c>
      <c r="K550" t="s">
        <v>20</v>
      </c>
      <c r="L550">
        <v>0.69</v>
      </c>
      <c r="M550">
        <v>3</v>
      </c>
      <c r="N550">
        <v>6</v>
      </c>
      <c r="O550">
        <v>9</v>
      </c>
      <c r="P550" s="2">
        <v>0.13639999999999999</v>
      </c>
      <c r="Q550" s="2">
        <v>0.28360000000000002</v>
      </c>
      <c r="R550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551" spans="1:18" ht="14.25" x14ac:dyDescent="0.2">
      <c r="A551">
        <v>550</v>
      </c>
      <c r="B551" s="5">
        <v>40568</v>
      </c>
      <c r="C551">
        <v>1</v>
      </c>
      <c r="D551">
        <v>1</v>
      </c>
      <c r="E551" t="b">
        <v>0</v>
      </c>
      <c r="F551">
        <v>2</v>
      </c>
      <c r="G551">
        <v>2</v>
      </c>
      <c r="H551">
        <v>0.16</v>
      </c>
      <c r="I551" t="s">
        <v>5</v>
      </c>
      <c r="J551" t="s">
        <v>21</v>
      </c>
      <c r="K551" t="s">
        <v>20</v>
      </c>
      <c r="L551">
        <v>0.69</v>
      </c>
      <c r="M551">
        <v>0</v>
      </c>
      <c r="N551">
        <v>5</v>
      </c>
      <c r="O551">
        <v>5</v>
      </c>
      <c r="P551" s="2">
        <v>0.16669999999999999</v>
      </c>
      <c r="Q551" s="2">
        <v>0.16420000000000001</v>
      </c>
      <c r="R551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552" spans="1:18" ht="14.25" x14ac:dyDescent="0.2">
      <c r="A552">
        <v>551</v>
      </c>
      <c r="B552" s="5">
        <v>40568</v>
      </c>
      <c r="C552">
        <v>1</v>
      </c>
      <c r="D552">
        <v>2</v>
      </c>
      <c r="E552" t="b">
        <v>0</v>
      </c>
      <c r="F552">
        <v>2</v>
      </c>
      <c r="G552">
        <v>1</v>
      </c>
      <c r="H552">
        <v>0.16</v>
      </c>
      <c r="I552" t="s">
        <v>5</v>
      </c>
      <c r="J552" t="s">
        <v>19</v>
      </c>
      <c r="K552" t="s">
        <v>20</v>
      </c>
      <c r="L552">
        <v>0.69</v>
      </c>
      <c r="M552">
        <v>0</v>
      </c>
      <c r="N552">
        <v>2</v>
      </c>
      <c r="O552">
        <v>2</v>
      </c>
      <c r="P552" s="2">
        <v>0.1515</v>
      </c>
      <c r="Q552" s="2">
        <v>0.22389999999999999</v>
      </c>
      <c r="R552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553" spans="1:18" ht="14.25" x14ac:dyDescent="0.2">
      <c r="A553">
        <v>552</v>
      </c>
      <c r="B553" s="5">
        <v>40568</v>
      </c>
      <c r="C553">
        <v>1</v>
      </c>
      <c r="D553">
        <v>4</v>
      </c>
      <c r="E553" t="b">
        <v>0</v>
      </c>
      <c r="F553">
        <v>2</v>
      </c>
      <c r="G553">
        <v>1</v>
      </c>
      <c r="H553">
        <v>0.14000000000000001</v>
      </c>
      <c r="I553" t="s">
        <v>5</v>
      </c>
      <c r="J553" t="s">
        <v>19</v>
      </c>
      <c r="K553" t="s">
        <v>20</v>
      </c>
      <c r="L553">
        <v>0.74</v>
      </c>
      <c r="M553">
        <v>0</v>
      </c>
      <c r="N553">
        <v>1</v>
      </c>
      <c r="O553">
        <v>1</v>
      </c>
      <c r="P553" s="2">
        <v>0.16669999999999999</v>
      </c>
      <c r="Q553" s="2">
        <v>0.1045</v>
      </c>
      <c r="R553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554" spans="1:18" ht="14.25" x14ac:dyDescent="0.2">
      <c r="A554">
        <v>553</v>
      </c>
      <c r="B554" s="5">
        <v>40568</v>
      </c>
      <c r="C554">
        <v>1</v>
      </c>
      <c r="D554">
        <v>5</v>
      </c>
      <c r="E554" t="b">
        <v>0</v>
      </c>
      <c r="F554">
        <v>2</v>
      </c>
      <c r="G554">
        <v>1</v>
      </c>
      <c r="H554">
        <v>0.14000000000000001</v>
      </c>
      <c r="I554" t="s">
        <v>5</v>
      </c>
      <c r="J554" t="s">
        <v>19</v>
      </c>
      <c r="K554" t="s">
        <v>20</v>
      </c>
      <c r="L554">
        <v>0.74</v>
      </c>
      <c r="M554">
        <v>0</v>
      </c>
      <c r="N554">
        <v>9</v>
      </c>
      <c r="O554">
        <v>9</v>
      </c>
      <c r="P554" s="2">
        <v>0.13639999999999999</v>
      </c>
      <c r="Q554" s="2">
        <v>0.22389999999999999</v>
      </c>
      <c r="R554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555" spans="1:18" ht="14.25" x14ac:dyDescent="0.2">
      <c r="A555">
        <v>554</v>
      </c>
      <c r="B555" s="5">
        <v>40568</v>
      </c>
      <c r="C555">
        <v>1</v>
      </c>
      <c r="D555">
        <v>6</v>
      </c>
      <c r="E555" t="b">
        <v>0</v>
      </c>
      <c r="F555">
        <v>2</v>
      </c>
      <c r="G555">
        <v>1</v>
      </c>
      <c r="H555">
        <v>0.16</v>
      </c>
      <c r="I555" t="s">
        <v>5</v>
      </c>
      <c r="J555" t="s">
        <v>19</v>
      </c>
      <c r="K555" t="s">
        <v>20</v>
      </c>
      <c r="L555">
        <v>0.74</v>
      </c>
      <c r="M555">
        <v>1</v>
      </c>
      <c r="N555">
        <v>35</v>
      </c>
      <c r="O555">
        <v>36</v>
      </c>
      <c r="P555" s="2">
        <v>0.18179999999999999</v>
      </c>
      <c r="Q555" s="2">
        <v>0.1045</v>
      </c>
      <c r="R555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556" spans="1:18" ht="14.25" x14ac:dyDescent="0.2">
      <c r="A556">
        <v>555</v>
      </c>
      <c r="B556" s="5">
        <v>40568</v>
      </c>
      <c r="C556">
        <v>1</v>
      </c>
      <c r="D556">
        <v>7</v>
      </c>
      <c r="E556" t="b">
        <v>0</v>
      </c>
      <c r="F556">
        <v>2</v>
      </c>
      <c r="G556">
        <v>1</v>
      </c>
      <c r="H556">
        <v>0.16</v>
      </c>
      <c r="I556" t="s">
        <v>5</v>
      </c>
      <c r="J556" t="s">
        <v>19</v>
      </c>
      <c r="K556" t="s">
        <v>20</v>
      </c>
      <c r="L556">
        <v>0.74</v>
      </c>
      <c r="M556">
        <v>5</v>
      </c>
      <c r="N556">
        <v>103</v>
      </c>
      <c r="O556">
        <v>108</v>
      </c>
      <c r="P556" s="2">
        <v>0.1515</v>
      </c>
      <c r="Q556" s="2">
        <v>0.22389999999999999</v>
      </c>
      <c r="R556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557" spans="1:18" ht="14.25" x14ac:dyDescent="0.2">
      <c r="A557">
        <v>556</v>
      </c>
      <c r="B557" s="5">
        <v>40568</v>
      </c>
      <c r="C557">
        <v>1</v>
      </c>
      <c r="D557">
        <v>8</v>
      </c>
      <c r="E557" t="b">
        <v>0</v>
      </c>
      <c r="F557">
        <v>2</v>
      </c>
      <c r="G557">
        <v>2</v>
      </c>
      <c r="H557">
        <v>0.16</v>
      </c>
      <c r="I557" t="s">
        <v>5</v>
      </c>
      <c r="J557" t="s">
        <v>21</v>
      </c>
      <c r="K557" t="s">
        <v>20</v>
      </c>
      <c r="L557">
        <v>0.74</v>
      </c>
      <c r="M557">
        <v>5</v>
      </c>
      <c r="N557">
        <v>233</v>
      </c>
      <c r="O557">
        <v>238</v>
      </c>
      <c r="P557" s="2">
        <v>0.18179999999999999</v>
      </c>
      <c r="Q557" s="2">
        <v>0.1343</v>
      </c>
      <c r="R557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558" spans="1:18" ht="14.25" x14ac:dyDescent="0.2">
      <c r="A558">
        <v>557</v>
      </c>
      <c r="B558" s="5">
        <v>40568</v>
      </c>
      <c r="C558">
        <v>1</v>
      </c>
      <c r="D558">
        <v>9</v>
      </c>
      <c r="E558" t="b">
        <v>0</v>
      </c>
      <c r="F558">
        <v>2</v>
      </c>
      <c r="G558">
        <v>2</v>
      </c>
      <c r="H558">
        <v>0.2</v>
      </c>
      <c r="I558" t="s">
        <v>5</v>
      </c>
      <c r="J558" t="s">
        <v>21</v>
      </c>
      <c r="K558" t="s">
        <v>20</v>
      </c>
      <c r="L558">
        <v>0.64</v>
      </c>
      <c r="M558">
        <v>10</v>
      </c>
      <c r="N558">
        <v>134</v>
      </c>
      <c r="O558">
        <v>144</v>
      </c>
      <c r="P558" s="2">
        <v>0.2273</v>
      </c>
      <c r="Q558" s="2">
        <v>8.9599999999999999E-2</v>
      </c>
      <c r="R558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559" spans="1:18" ht="14.25" x14ac:dyDescent="0.2">
      <c r="A559">
        <v>558</v>
      </c>
      <c r="B559" s="5">
        <v>40568</v>
      </c>
      <c r="C559">
        <v>1</v>
      </c>
      <c r="D559">
        <v>10</v>
      </c>
      <c r="E559" t="b">
        <v>0</v>
      </c>
      <c r="F559">
        <v>2</v>
      </c>
      <c r="G559">
        <v>2</v>
      </c>
      <c r="H559">
        <v>0.22</v>
      </c>
      <c r="I559" t="s">
        <v>5</v>
      </c>
      <c r="J559" t="s">
        <v>21</v>
      </c>
      <c r="K559" t="s">
        <v>20</v>
      </c>
      <c r="L559">
        <v>0.6</v>
      </c>
      <c r="M559">
        <v>6</v>
      </c>
      <c r="N559">
        <v>49</v>
      </c>
      <c r="O559">
        <v>55</v>
      </c>
      <c r="P559" s="2">
        <v>0.2424</v>
      </c>
      <c r="Q559" s="2">
        <v>0.1045</v>
      </c>
      <c r="R559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560" spans="1:18" ht="14.25" x14ac:dyDescent="0.2">
      <c r="A560">
        <v>559</v>
      </c>
      <c r="B560" s="5">
        <v>40568</v>
      </c>
      <c r="C560">
        <v>1</v>
      </c>
      <c r="D560">
        <v>11</v>
      </c>
      <c r="E560" t="b">
        <v>0</v>
      </c>
      <c r="F560">
        <v>2</v>
      </c>
      <c r="G560">
        <v>2</v>
      </c>
      <c r="H560">
        <v>0.24</v>
      </c>
      <c r="I560" t="s">
        <v>5</v>
      </c>
      <c r="J560" t="s">
        <v>21</v>
      </c>
      <c r="K560" t="s">
        <v>20</v>
      </c>
      <c r="L560">
        <v>0.6</v>
      </c>
      <c r="M560">
        <v>6</v>
      </c>
      <c r="N560">
        <v>55</v>
      </c>
      <c r="O560">
        <v>61</v>
      </c>
      <c r="P560" s="2">
        <v>0.2424</v>
      </c>
      <c r="Q560" s="2">
        <v>0.1343</v>
      </c>
      <c r="R560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561" spans="1:18" ht="14.25" x14ac:dyDescent="0.2">
      <c r="A561">
        <v>560</v>
      </c>
      <c r="B561" s="5">
        <v>40568</v>
      </c>
      <c r="C561">
        <v>1</v>
      </c>
      <c r="D561">
        <v>12</v>
      </c>
      <c r="E561" t="b">
        <v>0</v>
      </c>
      <c r="F561">
        <v>2</v>
      </c>
      <c r="G561">
        <v>2</v>
      </c>
      <c r="H561">
        <v>0.26</v>
      </c>
      <c r="I561" t="s">
        <v>5</v>
      </c>
      <c r="J561" t="s">
        <v>21</v>
      </c>
      <c r="K561" t="s">
        <v>22</v>
      </c>
      <c r="L561">
        <v>0.56000000000000005</v>
      </c>
      <c r="M561">
        <v>21</v>
      </c>
      <c r="N561">
        <v>85</v>
      </c>
      <c r="O561">
        <v>106</v>
      </c>
      <c r="P561" s="2">
        <v>0.28789999999999999</v>
      </c>
      <c r="Q561" s="2">
        <v>8.9599999999999999E-2</v>
      </c>
      <c r="R561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562" spans="1:18" ht="14.25" x14ac:dyDescent="0.2">
      <c r="A562">
        <v>561</v>
      </c>
      <c r="B562" s="5">
        <v>40568</v>
      </c>
      <c r="C562">
        <v>1</v>
      </c>
      <c r="D562">
        <v>13</v>
      </c>
      <c r="E562" t="b">
        <v>0</v>
      </c>
      <c r="F562">
        <v>2</v>
      </c>
      <c r="G562">
        <v>2</v>
      </c>
      <c r="H562">
        <v>0.26</v>
      </c>
      <c r="I562" t="s">
        <v>5</v>
      </c>
      <c r="J562" t="s">
        <v>21</v>
      </c>
      <c r="K562" t="s">
        <v>22</v>
      </c>
      <c r="L562">
        <v>0.56000000000000005</v>
      </c>
      <c r="M562">
        <v>21</v>
      </c>
      <c r="N562">
        <v>72</v>
      </c>
      <c r="O562">
        <v>93</v>
      </c>
      <c r="P562" s="2">
        <v>0.2727</v>
      </c>
      <c r="Q562" s="2">
        <v>0.1343</v>
      </c>
      <c r="R562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563" spans="1:18" ht="14.25" x14ac:dyDescent="0.2">
      <c r="A563">
        <v>562</v>
      </c>
      <c r="B563" s="5">
        <v>40568</v>
      </c>
      <c r="C563">
        <v>1</v>
      </c>
      <c r="D563">
        <v>14</v>
      </c>
      <c r="E563" t="b">
        <v>0</v>
      </c>
      <c r="F563">
        <v>2</v>
      </c>
      <c r="G563">
        <v>2</v>
      </c>
      <c r="H563">
        <v>0.3</v>
      </c>
      <c r="I563" t="s">
        <v>5</v>
      </c>
      <c r="J563" t="s">
        <v>21</v>
      </c>
      <c r="K563" t="s">
        <v>22</v>
      </c>
      <c r="L563">
        <v>0.45</v>
      </c>
      <c r="M563">
        <v>11</v>
      </c>
      <c r="N563">
        <v>57</v>
      </c>
      <c r="O563">
        <v>68</v>
      </c>
      <c r="P563" s="2">
        <v>0.33329999999999999</v>
      </c>
      <c r="Q563" s="2">
        <v>0</v>
      </c>
      <c r="R563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564" spans="1:18" ht="14.25" x14ac:dyDescent="0.2">
      <c r="A564">
        <v>563</v>
      </c>
      <c r="B564" s="5">
        <v>40568</v>
      </c>
      <c r="C564">
        <v>1</v>
      </c>
      <c r="D564">
        <v>15</v>
      </c>
      <c r="E564" t="b">
        <v>0</v>
      </c>
      <c r="F564">
        <v>2</v>
      </c>
      <c r="G564">
        <v>2</v>
      </c>
      <c r="H564">
        <v>0.32</v>
      </c>
      <c r="I564" t="s">
        <v>5</v>
      </c>
      <c r="J564" t="s">
        <v>21</v>
      </c>
      <c r="K564" t="s">
        <v>22</v>
      </c>
      <c r="L564">
        <v>0.42</v>
      </c>
      <c r="M564">
        <v>21</v>
      </c>
      <c r="N564">
        <v>63</v>
      </c>
      <c r="O564">
        <v>84</v>
      </c>
      <c r="P564" s="2">
        <v>0.34849999999999998</v>
      </c>
      <c r="Q564" s="2">
        <v>0</v>
      </c>
      <c r="R564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565" spans="1:18" ht="14.25" x14ac:dyDescent="0.2">
      <c r="A565">
        <v>564</v>
      </c>
      <c r="B565" s="5">
        <v>40568</v>
      </c>
      <c r="C565">
        <v>1</v>
      </c>
      <c r="D565">
        <v>16</v>
      </c>
      <c r="E565" t="b">
        <v>0</v>
      </c>
      <c r="F565">
        <v>2</v>
      </c>
      <c r="G565">
        <v>2</v>
      </c>
      <c r="H565">
        <v>0.32</v>
      </c>
      <c r="I565" t="s">
        <v>5</v>
      </c>
      <c r="J565" t="s">
        <v>21</v>
      </c>
      <c r="K565" t="s">
        <v>22</v>
      </c>
      <c r="L565">
        <v>0.42</v>
      </c>
      <c r="M565">
        <v>14</v>
      </c>
      <c r="N565">
        <v>102</v>
      </c>
      <c r="O565">
        <v>116</v>
      </c>
      <c r="P565" s="2">
        <v>0.34849999999999998</v>
      </c>
      <c r="Q565" s="2">
        <v>0</v>
      </c>
      <c r="R565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566" spans="1:18" ht="14.25" x14ac:dyDescent="0.2">
      <c r="A566">
        <v>565</v>
      </c>
      <c r="B566" s="5">
        <v>40568</v>
      </c>
      <c r="C566">
        <v>1</v>
      </c>
      <c r="D566">
        <v>17</v>
      </c>
      <c r="E566" t="b">
        <v>0</v>
      </c>
      <c r="F566">
        <v>2</v>
      </c>
      <c r="G566">
        <v>1</v>
      </c>
      <c r="H566">
        <v>0.3</v>
      </c>
      <c r="I566" t="s">
        <v>5</v>
      </c>
      <c r="J566" t="s">
        <v>19</v>
      </c>
      <c r="K566" t="s">
        <v>23</v>
      </c>
      <c r="L566">
        <v>0.45</v>
      </c>
      <c r="M566">
        <v>14</v>
      </c>
      <c r="N566">
        <v>208</v>
      </c>
      <c r="O566">
        <v>222</v>
      </c>
      <c r="P566" s="2">
        <v>0.33329999999999999</v>
      </c>
      <c r="Q566" s="2">
        <v>0</v>
      </c>
      <c r="R566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567" spans="1:18" ht="14.25" x14ac:dyDescent="0.2">
      <c r="A567">
        <v>566</v>
      </c>
      <c r="B567" s="5">
        <v>40568</v>
      </c>
      <c r="C567">
        <v>1</v>
      </c>
      <c r="D567">
        <v>18</v>
      </c>
      <c r="E567" t="b">
        <v>0</v>
      </c>
      <c r="F567">
        <v>2</v>
      </c>
      <c r="G567">
        <v>2</v>
      </c>
      <c r="H567">
        <v>0.3</v>
      </c>
      <c r="I567" t="s">
        <v>5</v>
      </c>
      <c r="J567" t="s">
        <v>21</v>
      </c>
      <c r="K567" t="s">
        <v>23</v>
      </c>
      <c r="L567">
        <v>0.49</v>
      </c>
      <c r="M567">
        <v>7</v>
      </c>
      <c r="N567">
        <v>218</v>
      </c>
      <c r="O567">
        <v>225</v>
      </c>
      <c r="P567" s="2">
        <v>0.31819999999999998</v>
      </c>
      <c r="Q567" s="2">
        <v>8.9599999999999999E-2</v>
      </c>
      <c r="R567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568" spans="1:18" ht="14.25" x14ac:dyDescent="0.2">
      <c r="A568">
        <v>567</v>
      </c>
      <c r="B568" s="5">
        <v>40568</v>
      </c>
      <c r="C568">
        <v>1</v>
      </c>
      <c r="D568">
        <v>19</v>
      </c>
      <c r="E568" t="b">
        <v>0</v>
      </c>
      <c r="F568">
        <v>2</v>
      </c>
      <c r="G568">
        <v>2</v>
      </c>
      <c r="H568">
        <v>0.26</v>
      </c>
      <c r="I568" t="s">
        <v>5</v>
      </c>
      <c r="J568" t="s">
        <v>21</v>
      </c>
      <c r="K568" t="s">
        <v>23</v>
      </c>
      <c r="L568">
        <v>0.65</v>
      </c>
      <c r="M568">
        <v>13</v>
      </c>
      <c r="N568">
        <v>133</v>
      </c>
      <c r="O568">
        <v>146</v>
      </c>
      <c r="P568" s="2">
        <v>0.2576</v>
      </c>
      <c r="Q568" s="2">
        <v>0.16420000000000001</v>
      </c>
      <c r="R568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569" spans="1:18" ht="14.25" x14ac:dyDescent="0.2">
      <c r="A569">
        <v>568</v>
      </c>
      <c r="B569" s="5">
        <v>40568</v>
      </c>
      <c r="C569">
        <v>1</v>
      </c>
      <c r="D569">
        <v>20</v>
      </c>
      <c r="E569" t="b">
        <v>0</v>
      </c>
      <c r="F569">
        <v>2</v>
      </c>
      <c r="G569">
        <v>1</v>
      </c>
      <c r="H569">
        <v>0.24</v>
      </c>
      <c r="I569" t="s">
        <v>5</v>
      </c>
      <c r="J569" t="s">
        <v>19</v>
      </c>
      <c r="K569" t="s">
        <v>23</v>
      </c>
      <c r="L569">
        <v>0.65</v>
      </c>
      <c r="M569">
        <v>16</v>
      </c>
      <c r="N569">
        <v>103</v>
      </c>
      <c r="O569">
        <v>119</v>
      </c>
      <c r="P569" s="2">
        <v>0.2273</v>
      </c>
      <c r="Q569" s="2">
        <v>0.19400000000000001</v>
      </c>
      <c r="R569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570" spans="1:18" ht="14.25" x14ac:dyDescent="0.2">
      <c r="A570">
        <v>569</v>
      </c>
      <c r="B570" s="5">
        <v>40568</v>
      </c>
      <c r="C570">
        <v>1</v>
      </c>
      <c r="D570">
        <v>21</v>
      </c>
      <c r="E570" t="b">
        <v>0</v>
      </c>
      <c r="F570">
        <v>2</v>
      </c>
      <c r="G570">
        <v>1</v>
      </c>
      <c r="H570">
        <v>0.24</v>
      </c>
      <c r="I570" t="s">
        <v>5</v>
      </c>
      <c r="J570" t="s">
        <v>19</v>
      </c>
      <c r="K570" t="s">
        <v>25</v>
      </c>
      <c r="L570">
        <v>0.65</v>
      </c>
      <c r="M570">
        <v>5</v>
      </c>
      <c r="N570">
        <v>40</v>
      </c>
      <c r="O570">
        <v>45</v>
      </c>
      <c r="P570" s="2">
        <v>0.2273</v>
      </c>
      <c r="Q570" s="2">
        <v>0.19400000000000001</v>
      </c>
      <c r="R570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571" spans="1:18" ht="14.25" x14ac:dyDescent="0.2">
      <c r="A571">
        <v>570</v>
      </c>
      <c r="B571" s="5">
        <v>40568</v>
      </c>
      <c r="C571">
        <v>1</v>
      </c>
      <c r="D571">
        <v>22</v>
      </c>
      <c r="E571" t="b">
        <v>0</v>
      </c>
      <c r="F571">
        <v>2</v>
      </c>
      <c r="G571">
        <v>1</v>
      </c>
      <c r="H571">
        <v>0.22</v>
      </c>
      <c r="I571" t="s">
        <v>5</v>
      </c>
      <c r="J571" t="s">
        <v>19</v>
      </c>
      <c r="K571" t="s">
        <v>25</v>
      </c>
      <c r="L571">
        <v>0.64</v>
      </c>
      <c r="M571">
        <v>4</v>
      </c>
      <c r="N571">
        <v>49</v>
      </c>
      <c r="O571">
        <v>53</v>
      </c>
      <c r="P571" s="2">
        <v>0.2273</v>
      </c>
      <c r="Q571" s="2">
        <v>0.16420000000000001</v>
      </c>
      <c r="R571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572" spans="1:18" ht="14.25" x14ac:dyDescent="0.2">
      <c r="A572">
        <v>571</v>
      </c>
      <c r="B572" s="5">
        <v>40568</v>
      </c>
      <c r="C572">
        <v>1</v>
      </c>
      <c r="D572">
        <v>23</v>
      </c>
      <c r="E572" t="b">
        <v>0</v>
      </c>
      <c r="F572">
        <v>2</v>
      </c>
      <c r="G572">
        <v>2</v>
      </c>
      <c r="H572">
        <v>0.22</v>
      </c>
      <c r="I572" t="s">
        <v>5</v>
      </c>
      <c r="J572" t="s">
        <v>21</v>
      </c>
      <c r="K572" t="s">
        <v>25</v>
      </c>
      <c r="L572">
        <v>0.64</v>
      </c>
      <c r="M572">
        <v>3</v>
      </c>
      <c r="N572">
        <v>37</v>
      </c>
      <c r="O572">
        <v>40</v>
      </c>
      <c r="P572" s="2">
        <v>0.2273</v>
      </c>
      <c r="Q572" s="2">
        <v>0.16420000000000001</v>
      </c>
      <c r="R572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Tuesday</v>
      </c>
    </row>
    <row r="573" spans="1:18" ht="14.25" x14ac:dyDescent="0.2">
      <c r="A573">
        <v>572</v>
      </c>
      <c r="B573" s="5">
        <v>40569</v>
      </c>
      <c r="C573">
        <v>1</v>
      </c>
      <c r="D573">
        <v>0</v>
      </c>
      <c r="E573" t="b">
        <v>0</v>
      </c>
      <c r="F573">
        <v>3</v>
      </c>
      <c r="G573">
        <v>2</v>
      </c>
      <c r="H573">
        <v>0.22</v>
      </c>
      <c r="I573" t="s">
        <v>5</v>
      </c>
      <c r="J573" t="s">
        <v>21</v>
      </c>
      <c r="K573" t="s">
        <v>20</v>
      </c>
      <c r="L573">
        <v>0.69</v>
      </c>
      <c r="M573">
        <v>3</v>
      </c>
      <c r="N573">
        <v>14</v>
      </c>
      <c r="O573">
        <v>17</v>
      </c>
      <c r="P573" s="2">
        <v>0.2273</v>
      </c>
      <c r="Q573" s="2">
        <v>0.1343</v>
      </c>
      <c r="R573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574" spans="1:18" ht="14.25" x14ac:dyDescent="0.2">
      <c r="A574">
        <v>573</v>
      </c>
      <c r="B574" s="5">
        <v>40569</v>
      </c>
      <c r="C574">
        <v>1</v>
      </c>
      <c r="D574">
        <v>1</v>
      </c>
      <c r="E574" t="b">
        <v>0</v>
      </c>
      <c r="F574">
        <v>3</v>
      </c>
      <c r="G574">
        <v>2</v>
      </c>
      <c r="H574">
        <v>0.24</v>
      </c>
      <c r="I574" t="s">
        <v>5</v>
      </c>
      <c r="J574" t="s">
        <v>21</v>
      </c>
      <c r="K574" t="s">
        <v>20</v>
      </c>
      <c r="L574">
        <v>0.65</v>
      </c>
      <c r="M574">
        <v>0</v>
      </c>
      <c r="N574">
        <v>5</v>
      </c>
      <c r="O574">
        <v>5</v>
      </c>
      <c r="P574" s="2">
        <v>0.2424</v>
      </c>
      <c r="Q574" s="2">
        <v>0.1343</v>
      </c>
      <c r="R574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575" spans="1:18" ht="14.25" x14ac:dyDescent="0.2">
      <c r="A575">
        <v>574</v>
      </c>
      <c r="B575" s="5">
        <v>40569</v>
      </c>
      <c r="C575">
        <v>1</v>
      </c>
      <c r="D575">
        <v>2</v>
      </c>
      <c r="E575" t="b">
        <v>0</v>
      </c>
      <c r="F575">
        <v>3</v>
      </c>
      <c r="G575">
        <v>3</v>
      </c>
      <c r="H575">
        <v>0.22</v>
      </c>
      <c r="I575" t="s">
        <v>5</v>
      </c>
      <c r="J575" t="s">
        <v>24</v>
      </c>
      <c r="K575" t="s">
        <v>20</v>
      </c>
      <c r="L575">
        <v>0.69</v>
      </c>
      <c r="M575">
        <v>3</v>
      </c>
      <c r="N575">
        <v>7</v>
      </c>
      <c r="O575">
        <v>10</v>
      </c>
      <c r="P575" s="2">
        <v>0.2273</v>
      </c>
      <c r="Q575" s="2">
        <v>0.19400000000000001</v>
      </c>
      <c r="R575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576" spans="1:18" ht="14.25" x14ac:dyDescent="0.2">
      <c r="A576">
        <v>575</v>
      </c>
      <c r="B576" s="5">
        <v>40569</v>
      </c>
      <c r="C576">
        <v>1</v>
      </c>
      <c r="D576">
        <v>5</v>
      </c>
      <c r="E576" t="b">
        <v>0</v>
      </c>
      <c r="F576">
        <v>3</v>
      </c>
      <c r="G576">
        <v>3</v>
      </c>
      <c r="H576">
        <v>0.2</v>
      </c>
      <c r="I576" t="s">
        <v>5</v>
      </c>
      <c r="J576" t="s">
        <v>24</v>
      </c>
      <c r="K576" t="s">
        <v>20</v>
      </c>
      <c r="L576">
        <v>0.86</v>
      </c>
      <c r="M576">
        <v>0</v>
      </c>
      <c r="N576">
        <v>1</v>
      </c>
      <c r="O576">
        <v>1</v>
      </c>
      <c r="P576" s="2">
        <v>0.18179999999999999</v>
      </c>
      <c r="Q576" s="2">
        <v>0.28360000000000002</v>
      </c>
      <c r="R576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577" spans="1:18" ht="14.25" x14ac:dyDescent="0.2">
      <c r="A577">
        <v>576</v>
      </c>
      <c r="B577" s="5">
        <v>40569</v>
      </c>
      <c r="C577">
        <v>1</v>
      </c>
      <c r="D577">
        <v>6</v>
      </c>
      <c r="E577" t="b">
        <v>0</v>
      </c>
      <c r="F577">
        <v>3</v>
      </c>
      <c r="G577">
        <v>3</v>
      </c>
      <c r="H577">
        <v>0.2</v>
      </c>
      <c r="I577" t="s">
        <v>5</v>
      </c>
      <c r="J577" t="s">
        <v>24</v>
      </c>
      <c r="K577" t="s">
        <v>20</v>
      </c>
      <c r="L577">
        <v>0.86</v>
      </c>
      <c r="M577">
        <v>0</v>
      </c>
      <c r="N577">
        <v>8</v>
      </c>
      <c r="O577">
        <v>8</v>
      </c>
      <c r="P577" s="2">
        <v>0.18179999999999999</v>
      </c>
      <c r="Q577" s="2">
        <v>0.28360000000000002</v>
      </c>
      <c r="R577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578" spans="1:18" ht="14.25" x14ac:dyDescent="0.2">
      <c r="A578">
        <v>577</v>
      </c>
      <c r="B578" s="5">
        <v>40569</v>
      </c>
      <c r="C578">
        <v>1</v>
      </c>
      <c r="D578">
        <v>7</v>
      </c>
      <c r="E578" t="b">
        <v>0</v>
      </c>
      <c r="F578">
        <v>3</v>
      </c>
      <c r="G578">
        <v>3</v>
      </c>
      <c r="H578">
        <v>0.22</v>
      </c>
      <c r="I578" t="s">
        <v>5</v>
      </c>
      <c r="J578" t="s">
        <v>24</v>
      </c>
      <c r="K578" t="s">
        <v>20</v>
      </c>
      <c r="L578">
        <v>0.87</v>
      </c>
      <c r="M578">
        <v>1</v>
      </c>
      <c r="N578">
        <v>29</v>
      </c>
      <c r="O578">
        <v>30</v>
      </c>
      <c r="P578" s="2">
        <v>0.21210000000000001</v>
      </c>
      <c r="Q578" s="2">
        <v>0.29849999999999999</v>
      </c>
      <c r="R578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579" spans="1:18" ht="14.25" x14ac:dyDescent="0.2">
      <c r="A579">
        <v>578</v>
      </c>
      <c r="B579" s="5">
        <v>40569</v>
      </c>
      <c r="C579">
        <v>1</v>
      </c>
      <c r="D579">
        <v>8</v>
      </c>
      <c r="E579" t="b">
        <v>0</v>
      </c>
      <c r="F579">
        <v>3</v>
      </c>
      <c r="G579">
        <v>3</v>
      </c>
      <c r="H579">
        <v>0.22</v>
      </c>
      <c r="I579" t="s">
        <v>5</v>
      </c>
      <c r="J579" t="s">
        <v>24</v>
      </c>
      <c r="K579" t="s">
        <v>20</v>
      </c>
      <c r="L579">
        <v>0.87</v>
      </c>
      <c r="M579">
        <v>3</v>
      </c>
      <c r="N579">
        <v>69</v>
      </c>
      <c r="O579">
        <v>72</v>
      </c>
      <c r="P579" s="2">
        <v>0.21210000000000001</v>
      </c>
      <c r="Q579" s="2">
        <v>0.29849999999999999</v>
      </c>
      <c r="R579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580" spans="1:18" ht="14.25" x14ac:dyDescent="0.2">
      <c r="A580">
        <v>579</v>
      </c>
      <c r="B580" s="5">
        <v>40569</v>
      </c>
      <c r="C580">
        <v>1</v>
      </c>
      <c r="D580">
        <v>9</v>
      </c>
      <c r="E580" t="b">
        <v>0</v>
      </c>
      <c r="F580">
        <v>3</v>
      </c>
      <c r="G580">
        <v>3</v>
      </c>
      <c r="H580">
        <v>0.22</v>
      </c>
      <c r="I580" t="s">
        <v>5</v>
      </c>
      <c r="J580" t="s">
        <v>24</v>
      </c>
      <c r="K580" t="s">
        <v>20</v>
      </c>
      <c r="L580">
        <v>0.87</v>
      </c>
      <c r="M580">
        <v>3</v>
      </c>
      <c r="N580">
        <v>55</v>
      </c>
      <c r="O580">
        <v>58</v>
      </c>
      <c r="P580" s="2">
        <v>0.21210000000000001</v>
      </c>
      <c r="Q580" s="2">
        <v>0.29849999999999999</v>
      </c>
      <c r="R580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581" spans="1:18" ht="14.25" x14ac:dyDescent="0.2">
      <c r="A581">
        <v>580</v>
      </c>
      <c r="B581" s="5">
        <v>40569</v>
      </c>
      <c r="C581">
        <v>1</v>
      </c>
      <c r="D581">
        <v>10</v>
      </c>
      <c r="E581" t="b">
        <v>0</v>
      </c>
      <c r="F581">
        <v>3</v>
      </c>
      <c r="G581">
        <v>3</v>
      </c>
      <c r="H581">
        <v>0.22</v>
      </c>
      <c r="I581" t="s">
        <v>5</v>
      </c>
      <c r="J581" t="s">
        <v>24</v>
      </c>
      <c r="K581" t="s">
        <v>20</v>
      </c>
      <c r="L581">
        <v>0.93</v>
      </c>
      <c r="M581">
        <v>2</v>
      </c>
      <c r="N581">
        <v>26</v>
      </c>
      <c r="O581">
        <v>28</v>
      </c>
      <c r="P581" s="2">
        <v>0.21210000000000001</v>
      </c>
      <c r="Q581" s="2">
        <v>0.28360000000000002</v>
      </c>
      <c r="R581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582" spans="1:18" ht="14.25" x14ac:dyDescent="0.2">
      <c r="A582">
        <v>581</v>
      </c>
      <c r="B582" s="5">
        <v>40569</v>
      </c>
      <c r="C582">
        <v>1</v>
      </c>
      <c r="D582">
        <v>11</v>
      </c>
      <c r="E582" t="b">
        <v>0</v>
      </c>
      <c r="F582">
        <v>3</v>
      </c>
      <c r="G582">
        <v>3</v>
      </c>
      <c r="H582">
        <v>0.22</v>
      </c>
      <c r="I582" t="s">
        <v>5</v>
      </c>
      <c r="J582" t="s">
        <v>24</v>
      </c>
      <c r="K582" t="s">
        <v>20</v>
      </c>
      <c r="L582">
        <v>0.93</v>
      </c>
      <c r="M582">
        <v>6</v>
      </c>
      <c r="N582">
        <v>35</v>
      </c>
      <c r="O582">
        <v>41</v>
      </c>
      <c r="P582" s="2">
        <v>0.19700000000000001</v>
      </c>
      <c r="Q582" s="2">
        <v>0.32840000000000003</v>
      </c>
      <c r="R582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583" spans="1:18" ht="14.25" x14ac:dyDescent="0.2">
      <c r="A583">
        <v>582</v>
      </c>
      <c r="B583" s="5">
        <v>40569</v>
      </c>
      <c r="C583">
        <v>1</v>
      </c>
      <c r="D583">
        <v>12</v>
      </c>
      <c r="E583" t="b">
        <v>0</v>
      </c>
      <c r="F583">
        <v>3</v>
      </c>
      <c r="G583">
        <v>3</v>
      </c>
      <c r="H583">
        <v>0.22</v>
      </c>
      <c r="I583" t="s">
        <v>5</v>
      </c>
      <c r="J583" t="s">
        <v>24</v>
      </c>
      <c r="K583" t="s">
        <v>22</v>
      </c>
      <c r="L583">
        <v>0.93</v>
      </c>
      <c r="M583">
        <v>7</v>
      </c>
      <c r="N583">
        <v>41</v>
      </c>
      <c r="O583">
        <v>48</v>
      </c>
      <c r="P583" s="2">
        <v>0.19700000000000001</v>
      </c>
      <c r="Q583" s="2">
        <v>0.32840000000000003</v>
      </c>
      <c r="R583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584" spans="1:18" ht="14.25" x14ac:dyDescent="0.2">
      <c r="A584">
        <v>583</v>
      </c>
      <c r="B584" s="5">
        <v>40569</v>
      </c>
      <c r="C584">
        <v>1</v>
      </c>
      <c r="D584">
        <v>13</v>
      </c>
      <c r="E584" t="b">
        <v>0</v>
      </c>
      <c r="F584">
        <v>3</v>
      </c>
      <c r="G584">
        <v>3</v>
      </c>
      <c r="H584">
        <v>0.22</v>
      </c>
      <c r="I584" t="s">
        <v>5</v>
      </c>
      <c r="J584" t="s">
        <v>24</v>
      </c>
      <c r="K584" t="s">
        <v>22</v>
      </c>
      <c r="L584">
        <v>0.93</v>
      </c>
      <c r="M584">
        <v>4</v>
      </c>
      <c r="N584">
        <v>43</v>
      </c>
      <c r="O584">
        <v>47</v>
      </c>
      <c r="P584" s="2">
        <v>0.19700000000000001</v>
      </c>
      <c r="Q584" s="2">
        <v>0.32840000000000003</v>
      </c>
      <c r="R584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585" spans="1:18" ht="14.25" x14ac:dyDescent="0.2">
      <c r="A585">
        <v>584</v>
      </c>
      <c r="B585" s="5">
        <v>40569</v>
      </c>
      <c r="C585">
        <v>1</v>
      </c>
      <c r="D585">
        <v>14</v>
      </c>
      <c r="E585" t="b">
        <v>0</v>
      </c>
      <c r="F585">
        <v>3</v>
      </c>
      <c r="G585">
        <v>3</v>
      </c>
      <c r="H585">
        <v>0.22</v>
      </c>
      <c r="I585" t="s">
        <v>5</v>
      </c>
      <c r="J585" t="s">
        <v>24</v>
      </c>
      <c r="K585" t="s">
        <v>22</v>
      </c>
      <c r="L585">
        <v>0.93</v>
      </c>
      <c r="M585">
        <v>0</v>
      </c>
      <c r="N585">
        <v>36</v>
      </c>
      <c r="O585">
        <v>36</v>
      </c>
      <c r="P585" s="2">
        <v>0.19700000000000001</v>
      </c>
      <c r="Q585" s="2">
        <v>0.35820000000000002</v>
      </c>
      <c r="R585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586" spans="1:18" ht="14.25" x14ac:dyDescent="0.2">
      <c r="A586">
        <v>585</v>
      </c>
      <c r="B586" s="5">
        <v>40569</v>
      </c>
      <c r="C586">
        <v>1</v>
      </c>
      <c r="D586">
        <v>15</v>
      </c>
      <c r="E586" t="b">
        <v>0</v>
      </c>
      <c r="F586">
        <v>3</v>
      </c>
      <c r="G586">
        <v>3</v>
      </c>
      <c r="H586">
        <v>0.22</v>
      </c>
      <c r="I586" t="s">
        <v>5</v>
      </c>
      <c r="J586" t="s">
        <v>24</v>
      </c>
      <c r="K586" t="s">
        <v>22</v>
      </c>
      <c r="L586">
        <v>0.93</v>
      </c>
      <c r="M586">
        <v>1</v>
      </c>
      <c r="N586">
        <v>42</v>
      </c>
      <c r="O586">
        <v>43</v>
      </c>
      <c r="P586" s="2">
        <v>0.18179999999999999</v>
      </c>
      <c r="Q586" s="2">
        <v>0.4627</v>
      </c>
      <c r="R586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587" spans="1:18" ht="14.25" x14ac:dyDescent="0.2">
      <c r="A587">
        <v>586</v>
      </c>
      <c r="B587" s="5">
        <v>40569</v>
      </c>
      <c r="C587">
        <v>1</v>
      </c>
      <c r="D587">
        <v>16</v>
      </c>
      <c r="E587" t="b">
        <v>0</v>
      </c>
      <c r="F587">
        <v>3</v>
      </c>
      <c r="G587">
        <v>4</v>
      </c>
      <c r="H587">
        <v>0.22</v>
      </c>
      <c r="I587" t="s">
        <v>5</v>
      </c>
      <c r="J587" t="s">
        <v>26</v>
      </c>
      <c r="K587" t="s">
        <v>22</v>
      </c>
      <c r="L587">
        <v>0.93</v>
      </c>
      <c r="M587">
        <v>1</v>
      </c>
      <c r="N587">
        <v>35</v>
      </c>
      <c r="O587">
        <v>36</v>
      </c>
      <c r="P587" s="2">
        <v>0.19700000000000001</v>
      </c>
      <c r="Q587" s="2">
        <v>0.32840000000000003</v>
      </c>
      <c r="R587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588" spans="1:18" ht="14.25" x14ac:dyDescent="0.2">
      <c r="A588">
        <v>587</v>
      </c>
      <c r="B588" s="5">
        <v>40569</v>
      </c>
      <c r="C588">
        <v>1</v>
      </c>
      <c r="D588">
        <v>17</v>
      </c>
      <c r="E588" t="b">
        <v>0</v>
      </c>
      <c r="F588">
        <v>3</v>
      </c>
      <c r="G588">
        <v>3</v>
      </c>
      <c r="H588">
        <v>0.2</v>
      </c>
      <c r="I588" t="s">
        <v>5</v>
      </c>
      <c r="J588" t="s">
        <v>24</v>
      </c>
      <c r="K588" t="s">
        <v>23</v>
      </c>
      <c r="L588">
        <v>0.93</v>
      </c>
      <c r="M588">
        <v>0</v>
      </c>
      <c r="N588">
        <v>26</v>
      </c>
      <c r="O588">
        <v>26</v>
      </c>
      <c r="P588" s="2">
        <v>0.18179999999999999</v>
      </c>
      <c r="Q588" s="2">
        <v>0.35820000000000002</v>
      </c>
      <c r="R588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Wednesday</v>
      </c>
    </row>
    <row r="589" spans="1:18" ht="14.25" x14ac:dyDescent="0.2">
      <c r="A589">
        <v>588</v>
      </c>
      <c r="B589" s="5">
        <v>40570</v>
      </c>
      <c r="C589">
        <v>1</v>
      </c>
      <c r="D589">
        <v>16</v>
      </c>
      <c r="E589" t="b">
        <v>0</v>
      </c>
      <c r="F589">
        <v>4</v>
      </c>
      <c r="G589">
        <v>1</v>
      </c>
      <c r="H589">
        <v>0.22</v>
      </c>
      <c r="I589" t="s">
        <v>5</v>
      </c>
      <c r="J589" t="s">
        <v>19</v>
      </c>
      <c r="K589" t="s">
        <v>22</v>
      </c>
      <c r="L589">
        <v>0.55000000000000004</v>
      </c>
      <c r="M589">
        <v>1</v>
      </c>
      <c r="N589">
        <v>23</v>
      </c>
      <c r="O589">
        <v>24</v>
      </c>
      <c r="P589" s="2">
        <v>0.2273</v>
      </c>
      <c r="Q589" s="2">
        <v>0.19400000000000001</v>
      </c>
      <c r="R589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590" spans="1:18" ht="14.25" x14ac:dyDescent="0.2">
      <c r="A590">
        <v>589</v>
      </c>
      <c r="B590" s="5">
        <v>40570</v>
      </c>
      <c r="C590">
        <v>1</v>
      </c>
      <c r="D590">
        <v>17</v>
      </c>
      <c r="E590" t="b">
        <v>0</v>
      </c>
      <c r="F590">
        <v>4</v>
      </c>
      <c r="G590">
        <v>1</v>
      </c>
      <c r="H590">
        <v>0.22</v>
      </c>
      <c r="I590" t="s">
        <v>5</v>
      </c>
      <c r="J590" t="s">
        <v>19</v>
      </c>
      <c r="K590" t="s">
        <v>23</v>
      </c>
      <c r="L590">
        <v>0.55000000000000004</v>
      </c>
      <c r="M590">
        <v>2</v>
      </c>
      <c r="N590">
        <v>82</v>
      </c>
      <c r="O590">
        <v>84</v>
      </c>
      <c r="P590" s="2">
        <v>0.2424</v>
      </c>
      <c r="Q590" s="2">
        <v>0.1045</v>
      </c>
      <c r="R590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591" spans="1:18" ht="14.25" x14ac:dyDescent="0.2">
      <c r="A591">
        <v>590</v>
      </c>
      <c r="B591" s="5">
        <v>40570</v>
      </c>
      <c r="C591">
        <v>1</v>
      </c>
      <c r="D591">
        <v>18</v>
      </c>
      <c r="E591" t="b">
        <v>0</v>
      </c>
      <c r="F591">
        <v>4</v>
      </c>
      <c r="G591">
        <v>1</v>
      </c>
      <c r="H591">
        <v>0.2</v>
      </c>
      <c r="I591" t="s">
        <v>5</v>
      </c>
      <c r="J591" t="s">
        <v>19</v>
      </c>
      <c r="K591" t="s">
        <v>23</v>
      </c>
      <c r="L591">
        <v>0.69</v>
      </c>
      <c r="M591">
        <v>3</v>
      </c>
      <c r="N591">
        <v>101</v>
      </c>
      <c r="O591">
        <v>104</v>
      </c>
      <c r="P591" s="2">
        <v>0.2273</v>
      </c>
      <c r="Q591" s="2">
        <v>8.9599999999999999E-2</v>
      </c>
      <c r="R591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592" spans="1:18" ht="14.25" x14ac:dyDescent="0.2">
      <c r="A592">
        <v>591</v>
      </c>
      <c r="B592" s="5">
        <v>40570</v>
      </c>
      <c r="C592">
        <v>1</v>
      </c>
      <c r="D592">
        <v>19</v>
      </c>
      <c r="E592" t="b">
        <v>0</v>
      </c>
      <c r="F592">
        <v>4</v>
      </c>
      <c r="G592">
        <v>1</v>
      </c>
      <c r="H592">
        <v>0.2</v>
      </c>
      <c r="I592" t="s">
        <v>5</v>
      </c>
      <c r="J592" t="s">
        <v>19</v>
      </c>
      <c r="K592" t="s">
        <v>23</v>
      </c>
      <c r="L592">
        <v>0.69</v>
      </c>
      <c r="M592">
        <v>3</v>
      </c>
      <c r="N592">
        <v>76</v>
      </c>
      <c r="O592">
        <v>79</v>
      </c>
      <c r="P592" s="2">
        <v>0.2273</v>
      </c>
      <c r="Q592" s="2">
        <v>8.9599999999999999E-2</v>
      </c>
      <c r="R592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593" spans="1:18" ht="14.25" x14ac:dyDescent="0.2">
      <c r="A593">
        <v>592</v>
      </c>
      <c r="B593" s="5">
        <v>40570</v>
      </c>
      <c r="C593">
        <v>1</v>
      </c>
      <c r="D593">
        <v>20</v>
      </c>
      <c r="E593" t="b">
        <v>0</v>
      </c>
      <c r="F593">
        <v>4</v>
      </c>
      <c r="G593">
        <v>1</v>
      </c>
      <c r="H593">
        <v>0.18</v>
      </c>
      <c r="I593" t="s">
        <v>5</v>
      </c>
      <c r="J593" t="s">
        <v>19</v>
      </c>
      <c r="K593" t="s">
        <v>23</v>
      </c>
      <c r="L593">
        <v>0.74</v>
      </c>
      <c r="M593">
        <v>4</v>
      </c>
      <c r="N593">
        <v>55</v>
      </c>
      <c r="O593">
        <v>59</v>
      </c>
      <c r="P593" s="2">
        <v>0.21210000000000001</v>
      </c>
      <c r="Q593" s="2">
        <v>8.9599999999999999E-2</v>
      </c>
      <c r="R593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594" spans="1:18" ht="14.25" x14ac:dyDescent="0.2">
      <c r="A594">
        <v>593</v>
      </c>
      <c r="B594" s="5">
        <v>40570</v>
      </c>
      <c r="C594">
        <v>1</v>
      </c>
      <c r="D594">
        <v>21</v>
      </c>
      <c r="E594" t="b">
        <v>0</v>
      </c>
      <c r="F594">
        <v>4</v>
      </c>
      <c r="G594">
        <v>1</v>
      </c>
      <c r="H594">
        <v>0.18</v>
      </c>
      <c r="I594" t="s">
        <v>5</v>
      </c>
      <c r="J594" t="s">
        <v>19</v>
      </c>
      <c r="K594" t="s">
        <v>25</v>
      </c>
      <c r="L594">
        <v>0.74</v>
      </c>
      <c r="M594">
        <v>2</v>
      </c>
      <c r="N594">
        <v>36</v>
      </c>
      <c r="O594">
        <v>38</v>
      </c>
      <c r="P594" s="2">
        <v>0.21210000000000001</v>
      </c>
      <c r="Q594" s="2">
        <v>8.9599999999999999E-2</v>
      </c>
      <c r="R594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595" spans="1:18" ht="14.25" x14ac:dyDescent="0.2">
      <c r="A595">
        <v>594</v>
      </c>
      <c r="B595" s="5">
        <v>40570</v>
      </c>
      <c r="C595">
        <v>1</v>
      </c>
      <c r="D595">
        <v>22</v>
      </c>
      <c r="E595" t="b">
        <v>0</v>
      </c>
      <c r="F595">
        <v>4</v>
      </c>
      <c r="G595">
        <v>1</v>
      </c>
      <c r="H595">
        <v>0.18</v>
      </c>
      <c r="I595" t="s">
        <v>5</v>
      </c>
      <c r="J595" t="s">
        <v>19</v>
      </c>
      <c r="K595" t="s">
        <v>25</v>
      </c>
      <c r="L595">
        <v>0.74</v>
      </c>
      <c r="M595">
        <v>0</v>
      </c>
      <c r="N595">
        <v>27</v>
      </c>
      <c r="O595">
        <v>27</v>
      </c>
      <c r="P595" s="2">
        <v>0.21210000000000001</v>
      </c>
      <c r="Q595" s="2">
        <v>8.9599999999999999E-2</v>
      </c>
      <c r="R595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596" spans="1:18" ht="14.25" x14ac:dyDescent="0.2">
      <c r="A596">
        <v>595</v>
      </c>
      <c r="B596" s="5">
        <v>40570</v>
      </c>
      <c r="C596">
        <v>1</v>
      </c>
      <c r="D596">
        <v>23</v>
      </c>
      <c r="E596" t="b">
        <v>0</v>
      </c>
      <c r="F596">
        <v>4</v>
      </c>
      <c r="G596">
        <v>1</v>
      </c>
      <c r="H596">
        <v>0.18</v>
      </c>
      <c r="I596" t="s">
        <v>5</v>
      </c>
      <c r="J596" t="s">
        <v>19</v>
      </c>
      <c r="K596" t="s">
        <v>25</v>
      </c>
      <c r="L596">
        <v>0.8</v>
      </c>
      <c r="M596">
        <v>0</v>
      </c>
      <c r="N596">
        <v>16</v>
      </c>
      <c r="O596">
        <v>16</v>
      </c>
      <c r="P596" s="2">
        <v>0.19700000000000001</v>
      </c>
      <c r="Q596" s="2">
        <v>0.16420000000000001</v>
      </c>
      <c r="R596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Thursday</v>
      </c>
    </row>
    <row r="597" spans="1:18" ht="14.25" x14ac:dyDescent="0.2">
      <c r="A597">
        <v>596</v>
      </c>
      <c r="B597" s="5">
        <v>40571</v>
      </c>
      <c r="C597">
        <v>1</v>
      </c>
      <c r="D597">
        <v>0</v>
      </c>
      <c r="E597" t="b">
        <v>0</v>
      </c>
      <c r="F597">
        <v>5</v>
      </c>
      <c r="G597">
        <v>2</v>
      </c>
      <c r="H597">
        <v>0.2</v>
      </c>
      <c r="I597" t="s">
        <v>5</v>
      </c>
      <c r="J597" t="s">
        <v>21</v>
      </c>
      <c r="K597" t="s">
        <v>20</v>
      </c>
      <c r="L597">
        <v>0.75</v>
      </c>
      <c r="M597">
        <v>0</v>
      </c>
      <c r="N597">
        <v>9</v>
      </c>
      <c r="O597">
        <v>9</v>
      </c>
      <c r="P597" s="2">
        <v>0.21210000000000001</v>
      </c>
      <c r="Q597" s="2">
        <v>0.1343</v>
      </c>
      <c r="R597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598" spans="1:18" ht="14.25" x14ac:dyDescent="0.2">
      <c r="A598">
        <v>597</v>
      </c>
      <c r="B598" s="5">
        <v>40571</v>
      </c>
      <c r="C598">
        <v>1</v>
      </c>
      <c r="D598">
        <v>1</v>
      </c>
      <c r="E598" t="b">
        <v>0</v>
      </c>
      <c r="F598">
        <v>5</v>
      </c>
      <c r="G598">
        <v>2</v>
      </c>
      <c r="H598">
        <v>0.2</v>
      </c>
      <c r="I598" t="s">
        <v>5</v>
      </c>
      <c r="J598" t="s">
        <v>21</v>
      </c>
      <c r="K598" t="s">
        <v>20</v>
      </c>
      <c r="L598">
        <v>0.75</v>
      </c>
      <c r="M598">
        <v>1</v>
      </c>
      <c r="N598">
        <v>2</v>
      </c>
      <c r="O598">
        <v>3</v>
      </c>
      <c r="P598" s="2">
        <v>0.21210000000000001</v>
      </c>
      <c r="Q598" s="2">
        <v>0.1343</v>
      </c>
      <c r="R598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599" spans="1:18" ht="14.25" x14ac:dyDescent="0.2">
      <c r="A599">
        <v>598</v>
      </c>
      <c r="B599" s="5">
        <v>40571</v>
      </c>
      <c r="C599">
        <v>1</v>
      </c>
      <c r="D599">
        <v>2</v>
      </c>
      <c r="E599" t="b">
        <v>0</v>
      </c>
      <c r="F599">
        <v>5</v>
      </c>
      <c r="G599">
        <v>2</v>
      </c>
      <c r="H599">
        <v>0.2</v>
      </c>
      <c r="I599" t="s">
        <v>5</v>
      </c>
      <c r="J599" t="s">
        <v>21</v>
      </c>
      <c r="K599" t="s">
        <v>20</v>
      </c>
      <c r="L599">
        <v>0.75</v>
      </c>
      <c r="M599">
        <v>0</v>
      </c>
      <c r="N599">
        <v>2</v>
      </c>
      <c r="O599">
        <v>2</v>
      </c>
      <c r="P599" s="2">
        <v>0.21210000000000001</v>
      </c>
      <c r="Q599" s="2">
        <v>0.16420000000000001</v>
      </c>
      <c r="R599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600" spans="1:18" ht="14.25" x14ac:dyDescent="0.2">
      <c r="A600">
        <v>599</v>
      </c>
      <c r="B600" s="5">
        <v>40571</v>
      </c>
      <c r="C600">
        <v>1</v>
      </c>
      <c r="D600">
        <v>3</v>
      </c>
      <c r="E600" t="b">
        <v>0</v>
      </c>
      <c r="F600">
        <v>5</v>
      </c>
      <c r="G600">
        <v>2</v>
      </c>
      <c r="H600">
        <v>0.2</v>
      </c>
      <c r="I600" t="s">
        <v>5</v>
      </c>
      <c r="J600" t="s">
        <v>21</v>
      </c>
      <c r="K600" t="s">
        <v>20</v>
      </c>
      <c r="L600">
        <v>0.75</v>
      </c>
      <c r="M600">
        <v>1</v>
      </c>
      <c r="N600">
        <v>0</v>
      </c>
      <c r="O600">
        <v>1</v>
      </c>
      <c r="P600" s="2">
        <v>0.2273</v>
      </c>
      <c r="Q600" s="2">
        <v>0.1045</v>
      </c>
      <c r="R600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601" spans="1:18" ht="14.25" x14ac:dyDescent="0.2">
      <c r="A601">
        <v>600</v>
      </c>
      <c r="B601" s="5">
        <v>40571</v>
      </c>
      <c r="C601">
        <v>1</v>
      </c>
      <c r="D601">
        <v>5</v>
      </c>
      <c r="E601" t="b">
        <v>0</v>
      </c>
      <c r="F601">
        <v>5</v>
      </c>
      <c r="G601">
        <v>2</v>
      </c>
      <c r="H601">
        <v>0.18</v>
      </c>
      <c r="I601" t="s">
        <v>5</v>
      </c>
      <c r="J601" t="s">
        <v>21</v>
      </c>
      <c r="K601" t="s">
        <v>20</v>
      </c>
      <c r="L601">
        <v>0.8</v>
      </c>
      <c r="M601">
        <v>0</v>
      </c>
      <c r="N601">
        <v>4</v>
      </c>
      <c r="O601">
        <v>4</v>
      </c>
      <c r="P601" s="2">
        <v>0.21210000000000001</v>
      </c>
      <c r="Q601" s="2">
        <v>0.1045</v>
      </c>
      <c r="R601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602" spans="1:18" ht="14.25" x14ac:dyDescent="0.2">
      <c r="A602">
        <v>601</v>
      </c>
      <c r="B602" s="5">
        <v>40571</v>
      </c>
      <c r="C602">
        <v>1</v>
      </c>
      <c r="D602">
        <v>6</v>
      </c>
      <c r="E602" t="b">
        <v>0</v>
      </c>
      <c r="F602">
        <v>5</v>
      </c>
      <c r="G602">
        <v>2</v>
      </c>
      <c r="H602">
        <v>0.18</v>
      </c>
      <c r="I602" t="s">
        <v>5</v>
      </c>
      <c r="J602" t="s">
        <v>21</v>
      </c>
      <c r="K602" t="s">
        <v>20</v>
      </c>
      <c r="L602">
        <v>0.8</v>
      </c>
      <c r="M602">
        <v>0</v>
      </c>
      <c r="N602">
        <v>16</v>
      </c>
      <c r="O602">
        <v>16</v>
      </c>
      <c r="P602" s="2">
        <v>0.19700000000000001</v>
      </c>
      <c r="Q602" s="2">
        <v>0.1343</v>
      </c>
      <c r="R602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603" spans="1:18" ht="14.25" x14ac:dyDescent="0.2">
      <c r="A603">
        <v>602</v>
      </c>
      <c r="B603" s="5">
        <v>40571</v>
      </c>
      <c r="C603">
        <v>1</v>
      </c>
      <c r="D603">
        <v>7</v>
      </c>
      <c r="E603" t="b">
        <v>0</v>
      </c>
      <c r="F603">
        <v>5</v>
      </c>
      <c r="G603">
        <v>2</v>
      </c>
      <c r="H603">
        <v>0.16</v>
      </c>
      <c r="I603" t="s">
        <v>5</v>
      </c>
      <c r="J603" t="s">
        <v>21</v>
      </c>
      <c r="K603" t="s">
        <v>20</v>
      </c>
      <c r="L603">
        <v>0.86</v>
      </c>
      <c r="M603">
        <v>2</v>
      </c>
      <c r="N603">
        <v>58</v>
      </c>
      <c r="O603">
        <v>60</v>
      </c>
      <c r="P603" s="2">
        <v>0.19700000000000001</v>
      </c>
      <c r="Q603" s="2">
        <v>8.9599999999999999E-2</v>
      </c>
      <c r="R603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604" spans="1:18" ht="14.25" x14ac:dyDescent="0.2">
      <c r="A604">
        <v>603</v>
      </c>
      <c r="B604" s="5">
        <v>40571</v>
      </c>
      <c r="C604">
        <v>1</v>
      </c>
      <c r="D604">
        <v>8</v>
      </c>
      <c r="E604" t="b">
        <v>0</v>
      </c>
      <c r="F604">
        <v>5</v>
      </c>
      <c r="G604">
        <v>2</v>
      </c>
      <c r="H604">
        <v>0.16</v>
      </c>
      <c r="I604" t="s">
        <v>5</v>
      </c>
      <c r="J604" t="s">
        <v>21</v>
      </c>
      <c r="K604" t="s">
        <v>20</v>
      </c>
      <c r="L604">
        <v>0.86</v>
      </c>
      <c r="M604">
        <v>2</v>
      </c>
      <c r="N604">
        <v>155</v>
      </c>
      <c r="O604">
        <v>157</v>
      </c>
      <c r="P604" s="2">
        <v>0.19700000000000001</v>
      </c>
      <c r="Q604" s="2">
        <v>8.9599999999999999E-2</v>
      </c>
      <c r="R604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605" spans="1:18" ht="14.25" x14ac:dyDescent="0.2">
      <c r="A605">
        <v>604</v>
      </c>
      <c r="B605" s="5">
        <v>40571</v>
      </c>
      <c r="C605">
        <v>1</v>
      </c>
      <c r="D605">
        <v>9</v>
      </c>
      <c r="E605" t="b">
        <v>0</v>
      </c>
      <c r="F605">
        <v>5</v>
      </c>
      <c r="G605">
        <v>3</v>
      </c>
      <c r="H605">
        <v>0.18</v>
      </c>
      <c r="I605" t="s">
        <v>5</v>
      </c>
      <c r="J605" t="s">
        <v>24</v>
      </c>
      <c r="K605" t="s">
        <v>20</v>
      </c>
      <c r="L605">
        <v>0.86</v>
      </c>
      <c r="M605">
        <v>6</v>
      </c>
      <c r="N605">
        <v>95</v>
      </c>
      <c r="O605">
        <v>101</v>
      </c>
      <c r="P605" s="2">
        <v>0.21210000000000001</v>
      </c>
      <c r="Q605" s="2">
        <v>8.9599999999999999E-2</v>
      </c>
      <c r="R605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606" spans="1:18" ht="14.25" x14ac:dyDescent="0.2">
      <c r="A606">
        <v>605</v>
      </c>
      <c r="B606" s="5">
        <v>40571</v>
      </c>
      <c r="C606">
        <v>1</v>
      </c>
      <c r="D606">
        <v>10</v>
      </c>
      <c r="E606" t="b">
        <v>0</v>
      </c>
      <c r="F606">
        <v>5</v>
      </c>
      <c r="G606">
        <v>3</v>
      </c>
      <c r="H606">
        <v>0.18</v>
      </c>
      <c r="I606" t="s">
        <v>5</v>
      </c>
      <c r="J606" t="s">
        <v>24</v>
      </c>
      <c r="K606" t="s">
        <v>20</v>
      </c>
      <c r="L606">
        <v>0.86</v>
      </c>
      <c r="M606">
        <v>0</v>
      </c>
      <c r="N606">
        <v>49</v>
      </c>
      <c r="O606">
        <v>49</v>
      </c>
      <c r="P606" s="2">
        <v>0.21210000000000001</v>
      </c>
      <c r="Q606" s="2">
        <v>0.1045</v>
      </c>
      <c r="R606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607" spans="1:18" ht="14.25" x14ac:dyDescent="0.2">
      <c r="A607">
        <v>606</v>
      </c>
      <c r="B607" s="5">
        <v>40571</v>
      </c>
      <c r="C607">
        <v>1</v>
      </c>
      <c r="D607">
        <v>11</v>
      </c>
      <c r="E607" t="b">
        <v>0</v>
      </c>
      <c r="F607">
        <v>5</v>
      </c>
      <c r="G607">
        <v>3</v>
      </c>
      <c r="H607">
        <v>0.18</v>
      </c>
      <c r="I607" t="s">
        <v>5</v>
      </c>
      <c r="J607" t="s">
        <v>24</v>
      </c>
      <c r="K607" t="s">
        <v>20</v>
      </c>
      <c r="L607">
        <v>0.93</v>
      </c>
      <c r="M607">
        <v>0</v>
      </c>
      <c r="N607">
        <v>30</v>
      </c>
      <c r="O607">
        <v>30</v>
      </c>
      <c r="P607" s="2">
        <v>0.21210000000000001</v>
      </c>
      <c r="Q607" s="2">
        <v>0.1045</v>
      </c>
      <c r="R607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608" spans="1:18" ht="14.25" x14ac:dyDescent="0.2">
      <c r="A608">
        <v>607</v>
      </c>
      <c r="B608" s="5">
        <v>40571</v>
      </c>
      <c r="C608">
        <v>1</v>
      </c>
      <c r="D608">
        <v>12</v>
      </c>
      <c r="E608" t="b">
        <v>0</v>
      </c>
      <c r="F608">
        <v>5</v>
      </c>
      <c r="G608">
        <v>3</v>
      </c>
      <c r="H608">
        <v>0.18</v>
      </c>
      <c r="I608" t="s">
        <v>5</v>
      </c>
      <c r="J608" t="s">
        <v>24</v>
      </c>
      <c r="K608" t="s">
        <v>22</v>
      </c>
      <c r="L608">
        <v>0.93</v>
      </c>
      <c r="M608">
        <v>1</v>
      </c>
      <c r="N608">
        <v>28</v>
      </c>
      <c r="O608">
        <v>29</v>
      </c>
      <c r="P608" s="2">
        <v>0.21210000000000001</v>
      </c>
      <c r="Q608" s="2">
        <v>0.1045</v>
      </c>
      <c r="R608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609" spans="1:18" ht="14.25" x14ac:dyDescent="0.2">
      <c r="A609">
        <v>608</v>
      </c>
      <c r="B609" s="5">
        <v>40571</v>
      </c>
      <c r="C609">
        <v>1</v>
      </c>
      <c r="D609">
        <v>13</v>
      </c>
      <c r="E609" t="b">
        <v>0</v>
      </c>
      <c r="F609">
        <v>5</v>
      </c>
      <c r="G609">
        <v>3</v>
      </c>
      <c r="H609">
        <v>0.18</v>
      </c>
      <c r="I609" t="s">
        <v>5</v>
      </c>
      <c r="J609" t="s">
        <v>24</v>
      </c>
      <c r="K609" t="s">
        <v>22</v>
      </c>
      <c r="L609">
        <v>0.93</v>
      </c>
      <c r="M609">
        <v>0</v>
      </c>
      <c r="N609">
        <v>31</v>
      </c>
      <c r="O609">
        <v>31</v>
      </c>
      <c r="P609" s="2">
        <v>0.21210000000000001</v>
      </c>
      <c r="Q609" s="2">
        <v>0.1045</v>
      </c>
      <c r="R609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610" spans="1:18" ht="14.25" x14ac:dyDescent="0.2">
      <c r="A610">
        <v>609</v>
      </c>
      <c r="B610" s="5">
        <v>40571</v>
      </c>
      <c r="C610">
        <v>1</v>
      </c>
      <c r="D610">
        <v>14</v>
      </c>
      <c r="E610" t="b">
        <v>0</v>
      </c>
      <c r="F610">
        <v>5</v>
      </c>
      <c r="G610">
        <v>3</v>
      </c>
      <c r="H610">
        <v>0.22</v>
      </c>
      <c r="I610" t="s">
        <v>5</v>
      </c>
      <c r="J610" t="s">
        <v>24</v>
      </c>
      <c r="K610" t="s">
        <v>22</v>
      </c>
      <c r="L610">
        <v>0.8</v>
      </c>
      <c r="M610">
        <v>2</v>
      </c>
      <c r="N610">
        <v>36</v>
      </c>
      <c r="O610">
        <v>38</v>
      </c>
      <c r="P610" s="2">
        <v>0.2727</v>
      </c>
      <c r="Q610" s="2">
        <v>0</v>
      </c>
      <c r="R610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  <row r="611" spans="1:18" ht="14.25" x14ac:dyDescent="0.2">
      <c r="A611">
        <v>610</v>
      </c>
      <c r="B611" s="5">
        <v>40571</v>
      </c>
      <c r="C611">
        <v>1</v>
      </c>
      <c r="D611">
        <v>15</v>
      </c>
      <c r="E611" t="b">
        <v>0</v>
      </c>
      <c r="F611">
        <v>5</v>
      </c>
      <c r="G611">
        <v>2</v>
      </c>
      <c r="H611">
        <v>0.2</v>
      </c>
      <c r="I611" t="s">
        <v>5</v>
      </c>
      <c r="J611" t="s">
        <v>21</v>
      </c>
      <c r="K611" t="s">
        <v>22</v>
      </c>
      <c r="L611">
        <v>0.86</v>
      </c>
      <c r="M611">
        <v>1</v>
      </c>
      <c r="N611">
        <v>40</v>
      </c>
      <c r="O611">
        <v>41</v>
      </c>
      <c r="P611" s="2">
        <v>0.2576</v>
      </c>
      <c r="Q611" s="2">
        <v>0</v>
      </c>
      <c r="R611" t="str">
        <f>IF(Merge1[[#This Row],[weekday]]=0,"Sunday",IF(Merge1[[#This Row],[weekday]]=1,"Monday",IF(Merge1[[#This Row],[weekday]]=2,"Tuesday",IF(Merge1[[#This Row],[weekday]]=3,"Wednesday",IF(Merge1[[#This Row],[weekday]]=4,"Thursday",IF(Merge1[[#This Row],[weekday]]=5,"Friday",IF(Merge1[[#This Row],[weekday]]=6,"Saturday ")))))))</f>
        <v>Friday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1A5365-5078-4678-9AC0-1854B65DCF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dataset_1</vt:lpstr>
      <vt:lpstr>dataset_2</vt:lpstr>
      <vt:lpstr>Weather Wise Rentals</vt:lpstr>
      <vt:lpstr>Weekday Wise total rentals</vt:lpstr>
      <vt:lpstr>Bike rentals by weather type</vt:lpstr>
      <vt:lpstr>Temperature vs Rentals</vt:lpstr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2026-05-25T14:05:51Z</dcterms:modified>
</cp:coreProperties>
</file>